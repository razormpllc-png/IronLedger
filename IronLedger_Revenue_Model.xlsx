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Founders" sheetId="2" state="visible" r:id="rId4"/>
    <sheet name="Conservative" sheetId="3" state="visible" r:id="rId5"/>
    <sheet name="Moderate" sheetId="4" state="visible" r:id="rId6"/>
    <sheet name="Optimistic" sheetId="5" state="visible" r:id="rId7"/>
    <sheet name="Combined Summary" sheetId="6" state="visible" r:id="rId8"/>
    <sheet name="Comparis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<sst xmlns="http://schemas.openxmlformats.org/spreadsheetml/2006/main" count="257" uniqueCount="136">
  <si>
    <t xml:space="preserve">Iron Ledger - Financial Model</t>
  </si>
  <si>
    <t xml:space="preserve">Adjust blue values to run scenarios. All formulas update automatically.</t>
  </si>
  <si>
    <t xml:space="preserve">PRICING ASSUMPTIONS</t>
  </si>
  <si>
    <t xml:space="preserve">Assumption</t>
  </si>
  <si>
    <t xml:space="preserve">Value</t>
  </si>
  <si>
    <t xml:space="preserve">Unit</t>
  </si>
  <si>
    <t xml:space="preserve">Notes</t>
  </si>
  <si>
    <t xml:space="preserve">Pro Monthly Price</t>
  </si>
  <si>
    <t xml:space="preserve">$/mo</t>
  </si>
  <si>
    <t xml:space="preserve">Current App Store price point</t>
  </si>
  <si>
    <t xml:space="preserve">Pro Annual Price</t>
  </si>
  <si>
    <t xml:space="preserve">$/yr</t>
  </si>
  <si>
    <t xml:space="preserve">42% discount vs monthly</t>
  </si>
  <si>
    <t xml:space="preserve">Annual vs Monthly Split</t>
  </si>
  <si>
    <t xml:space="preserve">%</t>
  </si>
  <si>
    <t xml:space="preserve">Target: 70%+ annual subscribers</t>
  </si>
  <si>
    <t xml:space="preserve">Monthly Churn (Monthly Plans)</t>
  </si>
  <si>
    <t xml:space="preserve">Industry avg for utility apps</t>
  </si>
  <si>
    <t xml:space="preserve">Monthly Churn (Annual Plans)</t>
  </si>
  <si>
    <t xml:space="preserve">Lower due to annual commitment</t>
  </si>
  <si>
    <t xml:space="preserve">Free-to-Pro Conversion Rate</t>
  </si>
  <si>
    <t xml:space="preserve">Target: 5-8%; adjust if below 4%</t>
  </si>
  <si>
    <t xml:space="preserve">Free Tier Firearm Limit</t>
  </si>
  <si>
    <t xml:space="preserve">firearms</t>
  </si>
  <si>
    <t xml:space="preserve">Primary conversion lever</t>
  </si>
  <si>
    <t xml:space="preserve">DERIVED METRICS</t>
  </si>
  <si>
    <t xml:space="preserve">Blended Monthly ARPU (Pro)</t>
  </si>
  <si>
    <t xml:space="preserve">Weighted avg of annual and monthly subscribers</t>
  </si>
  <si>
    <t xml:space="preserve">Blended Monthly Churn</t>
  </si>
  <si>
    <t xml:space="preserve">Avg Subscriber Lifetime (months)</t>
  </si>
  <si>
    <t xml:space="preserve">Lifetime Value (LTV) per Pro Sub</t>
  </si>
  <si>
    <t xml:space="preserve">MONTHLY COST STRUCTURE</t>
  </si>
  <si>
    <t xml:space="preserve">Expense</t>
  </si>
  <si>
    <t xml:space="preserve">Monthly ($)</t>
  </si>
  <si>
    <t xml:space="preserve">Annual ($)</t>
  </si>
  <si>
    <t xml:space="preserve">Apple Developer Program</t>
  </si>
  <si>
    <t xml:space="preserve">Required for App Store</t>
  </si>
  <si>
    <t xml:space="preserve">Google Play Developer (amortized)</t>
  </si>
  <si>
    <t xml:space="preserve">One-time $25 fee</t>
  </si>
  <si>
    <t xml:space="preserve">Paid Advertising</t>
  </si>
  <si>
    <t xml:space="preserve">$15-25/day starting month 2</t>
  </si>
  <si>
    <t xml:space="preserve">Landing Page Hosting</t>
  </si>
  <si>
    <t xml:space="preserve">Vercel / Netlify</t>
  </si>
  <si>
    <t xml:space="preserve">Domain Name</t>
  </si>
  <si>
    <t xml:space="preserve">ironledgerapp.com</t>
  </si>
  <si>
    <t xml:space="preserve">YouTube API</t>
  </si>
  <si>
    <t xml:space="preserve">Free tier sufficient</t>
  </si>
  <si>
    <t xml:space="preserve">OpenAI Vision API (optional)</t>
  </si>
  <si>
    <t xml:space="preserve">Cloud AI recognition if enabled</t>
  </si>
  <si>
    <t xml:space="preserve">Community Backend (v2)</t>
  </si>
  <si>
    <t xml:space="preserve">Form 4 wait time aggregation</t>
  </si>
  <si>
    <t xml:space="preserve">Total Monthly Overhead</t>
  </si>
  <si>
    <t xml:space="preserve">FOUNDERS TIER</t>
  </si>
  <si>
    <t xml:space="preserve">Founders Lifetime Price</t>
  </si>
  <si>
    <t xml:space="preserve">$ once</t>
  </si>
  <si>
    <t xml:space="preserve">Limited to first 500 customers</t>
  </si>
  <si>
    <t xml:space="preserve">Founders Purchases per Month (avg)</t>
  </si>
  <si>
    <t xml:space="preserve">units/mo</t>
  </si>
  <si>
    <t xml:space="preserve">Decreases over time; front-loaded</t>
  </si>
  <si>
    <t xml:space="preserve">Founders Cap</t>
  </si>
  <si>
    <t xml:space="preserve">units</t>
  </si>
  <si>
    <t xml:space="preserve">Raise to $99.99 after cap reached</t>
  </si>
  <si>
    <t xml:space="preserve">Founders Monthly Revenue</t>
  </si>
  <si>
    <t xml:space="preserve">Months Until Cap</t>
  </si>
  <si>
    <t xml:space="preserve">Iron Ledger - Founders Lifetime Tier Model</t>
  </si>
  <si>
    <t xml:space="preserve">Month</t>
  </si>
  <si>
    <t xml:space="preserve">New Founders Purchases</t>
  </si>
  <si>
    <t xml:space="preserve">Cumulative Founders</t>
  </si>
  <si>
    <t xml:space="preserve">Cap Remaining</t>
  </si>
  <si>
    <t xml:space="preserve">Monthly Revenue</t>
  </si>
  <si>
    <t xml:space="preserve">Cumulative Revenue</t>
  </si>
  <si>
    <t xml:space="preserve">SUMMARY</t>
  </si>
  <si>
    <t xml:space="preserve">Total Founders Sold (Yr 1)</t>
  </si>
  <si>
    <t xml:space="preserve">Total Founders Revenue</t>
  </si>
  <si>
    <t xml:space="preserve">Avg Monthly Founders Rev</t>
  </si>
  <si>
    <t xml:space="preserve">Cap Reached Month</t>
  </si>
  <si>
    <t xml:space="preserve">Review when cumulative approaches 500</t>
  </si>
  <si>
    <t xml:space="preserve">Iron Ledger - Conservative Projections</t>
  </si>
  <si>
    <t xml:space="preserve">All revenue formulas reference Assumptions sheet. Change inputs there to update.</t>
  </si>
  <si>
    <t xml:space="preserve">INSTALL SCHEDULE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</si>
  <si>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</si>
  <si>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</si>
  <si>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</si>
  <si>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</si>
  <si>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</si>
  <si>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</si>
  <si>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</si>
  <si>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</si>
  <si>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</si>
  <si>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</si>
  <si>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</si>
  <si>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</si>
  <si>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New Installs</t>
  </si>
  <si>
    <t xml:space="preserve">New Pro</t>
  </si>
  <si>
    <t xml:space="preserve">Churned Pro</t>
  </si>
  <si>
    <t xml:space="preserve">Active Pro</t>
  </si>
  <si>
    <t xml:space="preserve">Cumul Free</t>
  </si>
  <si>
    <t xml:space="preserve">REVENUE</t>
  </si>
  <si>
    <t xml:space="preserve">Monthly Rev</t>
  </si>
  <si>
    <t xml:space="preserve">Founders Rev</t>
  </si>
  <si>
    <t xml:space="preserve">Cumul Rev</t>
  </si>
  <si>
    <t xml:space="preserve">Monthly Cost</t>
  </si>
  <si>
    <t xml:space="preserve">Monthly P/L</t>
  </si>
  <si>
    <t xml:space="preserve">Cumul P/L</t>
  </si>
  <si>
    <t xml:space="preserve">KEY METRICS</t>
  </si>
  <si>
    <t xml:space="preserve">Total Installs (Yr1)</t>
  </si>
  <si>
    <t xml:space="preserve">Active Pro (Yr End)</t>
  </si>
  <si>
    <t xml:space="preserve">Year 1 Revenue</t>
  </si>
  <si>
    <t xml:space="preserve">Year 1 Costs</t>
  </si>
  <si>
    <t xml:space="preserve">Year 1 Profit/Loss</t>
  </si>
  <si>
    <t xml:space="preserve">ARR (Month 12)</t>
  </si>
  <si>
    <t xml:space="preserve">LTV:CAC Ratio</t>
  </si>
  <si>
    <t xml:space="preserve">See Assumptions tab</t>
  </si>
  <si>
    <t xml:space="preserve">Iron Ledger - Moderate Projections</t>
  </si>
  <si>
    <t xml:space="preserve">Iron Ledger - Optimistic Projections</t>
  </si>
  <si>
    <t xml:space="preserve">Iron Ledger - Combined Year 1 Summary</t>
  </si>
  <si>
    <t xml:space="preserve">Metric</t>
  </si>
  <si>
    <t xml:space="preserve">Conservative + Founders</t>
  </si>
  <si>
    <t xml:space="preserve">Moderate + Founders</t>
  </si>
  <si>
    <t xml:space="preserve">Optimistic + Founders</t>
  </si>
  <si>
    <t xml:space="preserve">Subscription Revenue</t>
  </si>
  <si>
    <t xml:space="preserve">Founders Revenue</t>
  </si>
  <si>
    <t xml:space="preserve">Total Revenue</t>
  </si>
  <si>
    <t xml:space="preserve">Total Costs</t>
  </si>
  <si>
    <t xml:space="preserve">Net Profit/Loss</t>
  </si>
  <si>
    <t xml:space="preserve">Scenario Comparison - Year 1 Summary</t>
  </si>
  <si>
    <t xml:space="preserve">Conservative</t>
  </si>
  <si>
    <t xml:space="preserve">Moderate</t>
  </si>
  <si>
    <t xml:space="preserve">Optimistic</t>
  </si>
  <si>
    <t xml:space="preserve">Total Installs</t>
  </si>
  <si>
    <t xml:space="preserve">Active Pro Subs (Yr End)</t>
  </si>
  <si>
    <t xml:space="preserve">Pro LTV</t>
  </si>
  <si>
    <t xml:space="preserve">Monthly Overhead</t>
  </si>
  <si>
    <t xml:space="preserve">Break-Even Analysis</t>
  </si>
  <si>
    <t xml:space="preserve">Monthly break-even subs</t>
  </si>
  <si>
    <t xml:space="preserve">Pro subscribers needed to cover monthly costs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</si>
</sst>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0.0%"/>
    <numFmt numFmtId="167" formatCode="0.0"/>
    <numFmt numFmtId="168" formatCode="\$#,##0"/>
    <numFmt numFmtId="169" formatCode="0"/>
    <numFmt numFmtId="170" formatCode="#,##0"/>
    <numFmt numFmtId="171" formatCode="\$#,##0;&quot;($&quot;#,##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B3A4E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color rgb="FF2E75B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F64"/>
        <bgColor rgb="FF2B3A4E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3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39C12"/>
      <rgbColor rgb="FFE74C3C"/>
      <rgbColor rgb="FF666699"/>
      <rgbColor rgb="FF969696"/>
      <rgbColor rgb="FF003366"/>
      <rgbColor rgb="FF27AE60"/>
      <rgbColor rgb="FF003300"/>
      <rgbColor rgb="FF333300"/>
      <rgbColor rgb="FF993300"/>
      <rgbColor rgb="FF993366"/>
      <rgbColor rgb="FF3B4F64"/>
      <rgbColor rgb="FF2B3A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8"/>
    <col collapsed="false" customWidth="true" hidden="false" outlineLevel="0" max="4" min="4" style="1" width="4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true" outlineLevel="0" collapsed="false">
      <c r="A6" s="6" t="s">
        <v>7</v>
      </c>
      <c r="B6" s="7" t="n">
        <v>4.99</v>
      </c>
      <c r="C6" s="6" t="s">
        <v>8</v>
      </c>
      <c r="D6" s="8" t="s">
        <v>9</v>
      </c>
    </row>
    <row r="7" customFormat="false" ht="15" hidden="false" customHeight="true" outlineLevel="0" collapsed="false">
      <c r="A7" s="6" t="s">
        <v>10</v>
      </c>
      <c r="B7" s="7" t="n">
        <v>34.99</v>
      </c>
      <c r="C7" s="6" t="s">
        <v>11</v>
      </c>
      <c r="D7" s="8" t="s">
        <v>12</v>
      </c>
    </row>
    <row r="8" customFormat="false" ht="15" hidden="false" customHeight="true" outlineLevel="0" collapsed="false">
      <c r="A8" s="6" t="s">
        <v>13</v>
      </c>
      <c r="B8" s="9" t="n">
        <v>0.7</v>
      </c>
      <c r="C8" s="6" t="s">
        <v>14</v>
      </c>
      <c r="D8" s="8" t="s">
        <v>15</v>
      </c>
    </row>
    <row r="9" customFormat="false" ht="15" hidden="false" customHeight="true" outlineLevel="0" collapsed="false">
      <c r="A9" s="6" t="s">
        <v>16</v>
      </c>
      <c r="B9" s="9" t="n">
        <v>0.08</v>
      </c>
      <c r="C9" s="6" t="s">
        <v>14</v>
      </c>
      <c r="D9" s="8" t="s">
        <v>17</v>
      </c>
    </row>
    <row r="10" customFormat="false" ht="15" hidden="false" customHeight="true" outlineLevel="0" collapsed="false">
      <c r="A10" s="6" t="s">
        <v>18</v>
      </c>
      <c r="B10" s="9" t="n">
        <v>0.03</v>
      </c>
      <c r="C10" s="6" t="s">
        <v>14</v>
      </c>
      <c r="D10" s="8" t="s">
        <v>19</v>
      </c>
    </row>
    <row r="11" customFormat="false" ht="15" hidden="false" customHeight="true" outlineLevel="0" collapsed="false">
      <c r="A11" s="6" t="s">
        <v>20</v>
      </c>
      <c r="B11" s="9" t="n">
        <v>0.06</v>
      </c>
      <c r="C11" s="6" t="s">
        <v>14</v>
      </c>
      <c r="D11" s="8" t="s">
        <v>21</v>
      </c>
    </row>
    <row r="12" customFormat="false" ht="15" hidden="false" customHeight="true" outlineLevel="0" collapsed="false">
      <c r="A12" s="6" t="s">
        <v>22</v>
      </c>
      <c r="B12" s="10" t="n">
        <v>5</v>
      </c>
      <c r="C12" s="6" t="s">
        <v>23</v>
      </c>
      <c r="D12" s="8" t="s">
        <v>24</v>
      </c>
    </row>
    <row r="14" customFormat="false" ht="15" hidden="false" customHeight="true" outlineLevel="0" collapsed="false">
      <c r="A14" s="4" t="s">
        <v>25</v>
      </c>
    </row>
    <row r="15" customFormat="false" ht="15" hidden="false" customHeight="true" outlineLevel="0" collapsed="false">
      <c r="A15" s="6" t="s">
        <v>26</v>
      </c>
      <c r="B15" s="11" t="n">
        <f aca="false">(B8*(B7/12))+((1-B8)*B6)</f>
        <v>3.53808333333333</v>
      </c>
      <c r="D15" s="3" t="s">
        <v>27</v>
      </c>
    </row>
    <row r="16" customFormat="false" ht="15" hidden="false" customHeight="true" outlineLevel="0" collapsed="false">
      <c r="A16" s="6" t="s">
        <v>28</v>
      </c>
      <c r="B16" s="12" t="n">
        <f aca="false">(B8*B10)+((1-B8)*B9)</f>
        <v>0.045</v>
      </c>
    </row>
    <row r="17" customFormat="false" ht="15" hidden="false" customHeight="true" outlineLevel="0" collapsed="false">
      <c r="A17" s="6" t="s">
        <v>29</v>
      </c>
      <c r="B17" s="13" t="n">
        <f aca="false">IF(B16&gt;0,1/B16,0)</f>
        <v>22.2222222222222</v>
      </c>
    </row>
    <row r="18" customFormat="false" ht="15" hidden="false" customHeight="true" outlineLevel="0" collapsed="false">
      <c r="A18" s="6" t="s">
        <v>30</v>
      </c>
      <c r="B18" s="11" t="n">
        <f aca="false">B15*B17</f>
        <v>78.6240740740741</v>
      </c>
    </row>
    <row r="20" customFormat="false" ht="15" hidden="false" customHeight="true" outlineLevel="0" collapsed="false">
      <c r="A20" s="4" t="s">
        <v>31</v>
      </c>
    </row>
    <row r="21" customFormat="false" ht="15" hidden="false" customHeight="true" outlineLevel="0" collapsed="false">
      <c r="A21" s="5" t="s">
        <v>32</v>
      </c>
      <c r="B21" s="5" t="s">
        <v>33</v>
      </c>
      <c r="C21" s="5" t="s">
        <v>34</v>
      </c>
      <c r="D21" s="5" t="s">
        <v>6</v>
      </c>
    </row>
    <row r="22" customFormat="false" ht="15" hidden="false" customHeight="true" outlineLevel="0" collapsed="false">
      <c r="A22" s="6" t="s">
        <v>35</v>
      </c>
      <c r="B22" s="7" t="n">
        <v>8.33</v>
      </c>
      <c r="C22" s="14" t="n">
        <f aca="false">B22*12</f>
        <v>99.96</v>
      </c>
      <c r="D22" s="8" t="s">
        <v>36</v>
      </c>
    </row>
    <row r="23" customFormat="false" ht="15" hidden="false" customHeight="true" outlineLevel="0" collapsed="false">
      <c r="A23" s="6" t="s">
        <v>37</v>
      </c>
      <c r="B23" s="7" t="n">
        <v>2.08</v>
      </c>
      <c r="C23" s="14" t="n">
        <f aca="false">B23*12</f>
        <v>24.96</v>
      </c>
      <c r="D23" s="8" t="s">
        <v>38</v>
      </c>
    </row>
    <row r="24" customFormat="false" ht="15" hidden="false" customHeight="true" outlineLevel="0" collapsed="false">
      <c r="A24" s="6" t="s">
        <v>39</v>
      </c>
      <c r="B24" s="7" t="n">
        <v>600</v>
      </c>
      <c r="C24" s="14" t="n">
        <f aca="false">B24*12</f>
        <v>7200</v>
      </c>
      <c r="D24" s="8" t="s">
        <v>40</v>
      </c>
    </row>
    <row r="25" customFormat="false" ht="15" hidden="false" customHeight="true" outlineLevel="0" collapsed="false">
      <c r="A25" s="6" t="s">
        <v>41</v>
      </c>
      <c r="B25" s="7" t="n">
        <v>10</v>
      </c>
      <c r="C25" s="14" t="n">
        <f aca="false">B25*12</f>
        <v>120</v>
      </c>
      <c r="D25" s="8" t="s">
        <v>42</v>
      </c>
    </row>
    <row r="26" customFormat="false" ht="15" hidden="false" customHeight="true" outlineLevel="0" collapsed="false">
      <c r="A26" s="6" t="s">
        <v>43</v>
      </c>
      <c r="B26" s="7" t="n">
        <v>1.5</v>
      </c>
      <c r="C26" s="14" t="n">
        <f aca="false">B26*12</f>
        <v>18</v>
      </c>
      <c r="D26" s="8" t="s">
        <v>44</v>
      </c>
    </row>
    <row r="27" customFormat="false" ht="15" hidden="false" customHeight="true" outlineLevel="0" collapsed="false">
      <c r="A27" s="6" t="s">
        <v>45</v>
      </c>
      <c r="B27" s="7" t="n">
        <v>0</v>
      </c>
      <c r="C27" s="14" t="n">
        <f aca="false">B27*12</f>
        <v>0</v>
      </c>
      <c r="D27" s="8" t="s">
        <v>46</v>
      </c>
    </row>
    <row r="28" customFormat="false" ht="15" hidden="false" customHeight="true" outlineLevel="0" collapsed="false">
      <c r="A28" s="6" t="s">
        <v>47</v>
      </c>
      <c r="B28" s="7" t="n">
        <v>12</v>
      </c>
      <c r="C28" s="14" t="n">
        <f aca="false">B28*12</f>
        <v>144</v>
      </c>
      <c r="D28" s="8" t="s">
        <v>48</v>
      </c>
    </row>
    <row r="29" customFormat="false" ht="15" hidden="false" customHeight="true" outlineLevel="0" collapsed="false">
      <c r="A29" s="6" t="s">
        <v>49</v>
      </c>
      <c r="B29" s="7" t="n">
        <v>15</v>
      </c>
      <c r="C29" s="14" t="n">
        <f aca="false">B29*12</f>
        <v>180</v>
      </c>
      <c r="D29" s="8" t="s">
        <v>50</v>
      </c>
    </row>
    <row r="30" customFormat="false" ht="15" hidden="false" customHeight="true" outlineLevel="0" collapsed="false">
      <c r="A30" s="15" t="s">
        <v>51</v>
      </c>
      <c r="B30" s="16" t="n">
        <f aca="false">SUM(B22:B29)</f>
        <v>648.91</v>
      </c>
      <c r="C30" s="17" t="n">
        <f aca="false">SUM(C22:C29)</f>
        <v>7786.92</v>
      </c>
    </row>
    <row r="32" customFormat="false" ht="15" hidden="false" customHeight="true" outlineLevel="0" collapsed="false">
      <c r="A32" s="18" t="s">
        <v>52</v>
      </c>
    </row>
    <row r="33" customFormat="false" ht="15" hidden="false" customHeight="true" outlineLevel="0" collapsed="false">
      <c r="A33" s="1" t="s">
        <v>53</v>
      </c>
      <c r="B33" s="19" t="n">
        <v>79.99</v>
      </c>
      <c r="C33" s="1" t="s">
        <v>54</v>
      </c>
      <c r="D33" s="1" t="s">
        <v>55</v>
      </c>
    </row>
    <row r="34" customFormat="false" ht="15" hidden="false" customHeight="true" outlineLevel="0" collapsed="false">
      <c r="A34" s="1" t="s">
        <v>56</v>
      </c>
      <c r="B34" s="20" t="n">
        <v>15</v>
      </c>
      <c r="C34" s="1" t="s">
        <v>57</v>
      </c>
      <c r="D34" s="1" t="s">
        <v>58</v>
      </c>
    </row>
    <row r="35" customFormat="false" ht="15" hidden="false" customHeight="true" outlineLevel="0" collapsed="false">
      <c r="A35" s="1" t="s">
        <v>59</v>
      </c>
      <c r="B35" s="20" t="n">
        <v>500</v>
      </c>
      <c r="C35" s="1" t="s">
        <v>60</v>
      </c>
      <c r="D35" s="1" t="s">
        <v>61</v>
      </c>
    </row>
    <row r="37" customFormat="false" ht="15" hidden="false" customHeight="true" outlineLevel="0" collapsed="false">
      <c r="A37" s="1" t="s">
        <v>62</v>
      </c>
      <c r="B37" s="21" t="n">
        <f aca="false">B33*B34</f>
        <v>1199.85</v>
      </c>
    </row>
    <row r="38" customFormat="false" ht="15" hidden="false" customHeight="true" outlineLevel="0" collapsed="false">
      <c r="A38" s="1" t="s">
        <v>63</v>
      </c>
      <c r="B38" s="22" t="n">
        <f aca="false">B35/B34</f>
        <v>33.3333333333333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13" min="2" style="1" width="12"/>
  </cols>
  <sheetData>
    <row r="1" customFormat="false" ht="17.25" hidden="false" customHeight="true" outlineLevel="0" collapsed="false">
      <c r="A1" s="23" t="s">
        <v>64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3" customFormat="false" ht="15" hidden="false" customHeight="true" outlineLevel="0" collapsed="false">
      <c r="A3" s="24" t="s">
        <v>65</v>
      </c>
      <c r="B3" s="25" t="n">
        <v>1</v>
      </c>
      <c r="C3" s="25" t="n">
        <v>2</v>
      </c>
      <c r="D3" s="25" t="n">
        <v>3</v>
      </c>
      <c r="E3" s="25" t="n">
        <v>4</v>
      </c>
      <c r="F3" s="25" t="n">
        <v>5</v>
      </c>
      <c r="G3" s="25" t="n">
        <v>6</v>
      </c>
      <c r="H3" s="25" t="n">
        <v>7</v>
      </c>
      <c r="I3" s="25" t="n">
        <v>8</v>
      </c>
      <c r="J3" s="25" t="n">
        <v>9</v>
      </c>
      <c r="K3" s="25" t="n">
        <v>10</v>
      </c>
      <c r="L3" s="25" t="n">
        <v>11</v>
      </c>
      <c r="M3" s="25" t="n">
        <v>12</v>
      </c>
    </row>
    <row r="4" customFormat="false" ht="15" hidden="false" customHeight="true" outlineLevel="0" collapsed="false">
      <c r="A4" s="24" t="s">
        <v>66</v>
      </c>
      <c r="B4" s="26" t="n">
        <v>30</v>
      </c>
      <c r="C4" s="26" t="n">
        <v>25</v>
      </c>
      <c r="D4" s="26" t="n">
        <v>25</v>
      </c>
      <c r="E4" s="26" t="n">
        <v>20</v>
      </c>
      <c r="F4" s="26" t="n">
        <v>20</v>
      </c>
      <c r="G4" s="26" t="n">
        <v>20</v>
      </c>
      <c r="H4" s="26" t="n">
        <v>15</v>
      </c>
      <c r="I4" s="26" t="n">
        <v>15</v>
      </c>
      <c r="J4" s="26" t="n">
        <v>15</v>
      </c>
      <c r="K4" s="26" t="n">
        <v>10</v>
      </c>
      <c r="L4" s="26" t="n">
        <v>10</v>
      </c>
      <c r="M4" s="26" t="n">
        <v>10</v>
      </c>
    </row>
    <row r="5" customFormat="false" ht="15" hidden="false" customHeight="true" outlineLevel="0" collapsed="false">
      <c r="A5" s="24" t="s">
        <v>67</v>
      </c>
      <c r="B5" s="27" t="n">
        <f aca="false">B4</f>
        <v>30</v>
      </c>
      <c r="C5" s="27" t="n">
        <f aca="false">B5+C4</f>
        <v>55</v>
      </c>
      <c r="D5" s="27" t="n">
        <f aca="false">C5+D4</f>
        <v>80</v>
      </c>
      <c r="E5" s="27" t="n">
        <f aca="false">D5+E4</f>
        <v>100</v>
      </c>
      <c r="F5" s="27" t="n">
        <f aca="false">E5+F4</f>
        <v>120</v>
      </c>
      <c r="G5" s="27" t="n">
        <f aca="false">F5+G4</f>
        <v>140</v>
      </c>
      <c r="H5" s="27" t="n">
        <f aca="false">G5+H4</f>
        <v>155</v>
      </c>
      <c r="I5" s="27" t="n">
        <f aca="false">H5+I4</f>
        <v>170</v>
      </c>
      <c r="J5" s="27" t="n">
        <f aca="false">I5+J4</f>
        <v>185</v>
      </c>
      <c r="K5" s="27" t="n">
        <f aca="false">J5+K4</f>
        <v>195</v>
      </c>
      <c r="L5" s="27" t="n">
        <f aca="false">K5+L4</f>
        <v>205</v>
      </c>
      <c r="M5" s="27" t="n">
        <f aca="false">L5+M4</f>
        <v>215</v>
      </c>
    </row>
    <row r="6" customFormat="false" ht="15" hidden="false" customHeight="true" outlineLevel="0" collapsed="false">
      <c r="A6" s="24" t="s">
        <v>68</v>
      </c>
      <c r="B6" s="27" t="n">
        <f aca="false">Assumptions!$B$35-B5</f>
        <v>470</v>
      </c>
      <c r="C6" s="27" t="n">
        <f aca="false">Assumptions!$B$35-C5</f>
        <v>445</v>
      </c>
      <c r="D6" s="27" t="n">
        <f aca="false">Assumptions!$B$35-D5</f>
        <v>420</v>
      </c>
      <c r="E6" s="27" t="n">
        <f aca="false">Assumptions!$B$35-E5</f>
        <v>400</v>
      </c>
      <c r="F6" s="27" t="n">
        <f aca="false">Assumptions!$B$35-F5</f>
        <v>380</v>
      </c>
      <c r="G6" s="27" t="n">
        <f aca="false">Assumptions!$B$35-G5</f>
        <v>360</v>
      </c>
      <c r="H6" s="27" t="n">
        <f aca="false">Assumptions!$B$35-H5</f>
        <v>345</v>
      </c>
      <c r="I6" s="27" t="n">
        <f aca="false">Assumptions!$B$35-I5</f>
        <v>330</v>
      </c>
      <c r="J6" s="27" t="n">
        <f aca="false">Assumptions!$B$35-J5</f>
        <v>315</v>
      </c>
      <c r="K6" s="27" t="n">
        <f aca="false">Assumptions!$B$35-K5</f>
        <v>305</v>
      </c>
      <c r="L6" s="27" t="n">
        <f aca="false">Assumptions!$B$35-L5</f>
        <v>295</v>
      </c>
      <c r="M6" s="27" t="n">
        <f aca="false">Assumptions!$B$35-M5</f>
        <v>285</v>
      </c>
    </row>
    <row r="7" customFormat="false" ht="15" hidden="false" customHeight="true" outlineLevel="0" collapsed="false">
      <c r="A7" s="24" t="s">
        <v>69</v>
      </c>
      <c r="B7" s="28" t="n">
        <f aca="false">B4*Assumptions!$B$33</f>
        <v>2399.7</v>
      </c>
      <c r="C7" s="28" t="n">
        <f aca="false">C4*Assumptions!$B$33</f>
        <v>1999.75</v>
      </c>
      <c r="D7" s="28" t="n">
        <f aca="false">D4*Assumptions!$B$33</f>
        <v>1999.75</v>
      </c>
      <c r="E7" s="28" t="n">
        <f aca="false">E4*Assumptions!$B$33</f>
        <v>1599.8</v>
      </c>
      <c r="F7" s="28" t="n">
        <f aca="false">F4*Assumptions!$B$33</f>
        <v>1599.8</v>
      </c>
      <c r="G7" s="28" t="n">
        <f aca="false">G4*Assumptions!$B$33</f>
        <v>1599.8</v>
      </c>
      <c r="H7" s="28" t="n">
        <f aca="false">H4*Assumptions!$B$33</f>
        <v>1199.85</v>
      </c>
      <c r="I7" s="28" t="n">
        <f aca="false">I4*Assumptions!$B$33</f>
        <v>1199.85</v>
      </c>
      <c r="J7" s="28" t="n">
        <f aca="false">J4*Assumptions!$B$33</f>
        <v>1199.85</v>
      </c>
      <c r="K7" s="28" t="n">
        <f aca="false">K4*Assumptions!$B$33</f>
        <v>799.9</v>
      </c>
      <c r="L7" s="28" t="n">
        <f aca="false">L4*Assumptions!$B$33</f>
        <v>799.9</v>
      </c>
      <c r="M7" s="28" t="n">
        <f aca="false">M4*Assumptions!$B$33</f>
        <v>799.9</v>
      </c>
    </row>
    <row r="8" customFormat="false" ht="15" hidden="false" customHeight="true" outlineLevel="0" collapsed="false">
      <c r="A8" s="24" t="s">
        <v>70</v>
      </c>
      <c r="B8" s="28" t="n">
        <f aca="false">B7</f>
        <v>2399.7</v>
      </c>
      <c r="C8" s="28" t="n">
        <f aca="false">B8+C7</f>
        <v>4399.45</v>
      </c>
      <c r="D8" s="28" t="n">
        <f aca="false">C8+D7</f>
        <v>6399.2</v>
      </c>
      <c r="E8" s="28" t="n">
        <f aca="false">D8+E7</f>
        <v>7999</v>
      </c>
      <c r="F8" s="28" t="n">
        <f aca="false">E8+F7</f>
        <v>9598.8</v>
      </c>
      <c r="G8" s="28" t="n">
        <f aca="false">F8+G7</f>
        <v>11198.6</v>
      </c>
      <c r="H8" s="28" t="n">
        <f aca="false">G8+H7</f>
        <v>12398.45</v>
      </c>
      <c r="I8" s="28" t="n">
        <f aca="false">H8+I7</f>
        <v>13598.3</v>
      </c>
      <c r="J8" s="28" t="n">
        <f aca="false">I8+J7</f>
        <v>14798.15</v>
      </c>
      <c r="K8" s="28" t="n">
        <f aca="false">J8+K7</f>
        <v>15598.05</v>
      </c>
      <c r="L8" s="28" t="n">
        <f aca="false">K8+L7</f>
        <v>16397.95</v>
      </c>
      <c r="M8" s="28" t="n">
        <f aca="false">L8+M7</f>
        <v>17197.85</v>
      </c>
    </row>
    <row r="11" customFormat="false" ht="15" hidden="false" customHeight="true" outlineLevel="0" collapsed="false">
      <c r="A11" s="18" t="s">
        <v>71</v>
      </c>
    </row>
    <row r="12" customFormat="false" ht="15" hidden="false" customHeight="true" outlineLevel="0" collapsed="false">
      <c r="A12" s="1" t="s">
        <v>72</v>
      </c>
      <c r="B12" s="29" t="n">
        <f aca="false">SUM(B4:M4)</f>
        <v>215</v>
      </c>
    </row>
    <row r="13" customFormat="false" ht="15" hidden="false" customHeight="true" outlineLevel="0" collapsed="false">
      <c r="A13" s="1" t="s">
        <v>73</v>
      </c>
      <c r="B13" s="21" t="n">
        <f aca="false">SUM(B7:M7)</f>
        <v>17197.85</v>
      </c>
    </row>
    <row r="14" customFormat="false" ht="15" hidden="false" customHeight="true" outlineLevel="0" collapsed="false">
      <c r="A14" s="1" t="s">
        <v>74</v>
      </c>
      <c r="B14" s="21" t="n">
        <f aca="false">B13/12</f>
        <v>1433.15416666667</v>
      </c>
    </row>
    <row r="15" customFormat="false" ht="15" hidden="false" customHeight="true" outlineLevel="0" collapsed="false">
      <c r="A15" s="1" t="s">
        <v>75</v>
      </c>
      <c r="B15" s="1" t="s">
        <v>76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14" min="2" style="1" width="16"/>
  </cols>
  <sheetData>
    <row r="1" customFormat="false" ht="17.25" hidden="false" customHeight="true" outlineLevel="0" collapsed="false">
      <c r="A1" s="2" t="s">
        <v>77</v>
      </c>
    </row>
    <row r="2" customFormat="false" ht="15" hidden="false" customHeight="true" outlineLevel="0" collapsed="false">
      <c r="A2" s="3" t="s">
        <v>78</v>
      </c>
    </row>
    <row r="4" customFormat="false" ht="15" hidden="false" customHeight="true" outlineLevel="0" collapsed="false">
      <c r="A4" s="4" t="s">
        <v>79</v>
      </c>
    </row>
    <row r="5" customFormat="false" ht="15" hidden="false" customHeight="true" outlineLevel="0" collapsed="false">
      <c r="A5" s="5" t="s">
        <v>65</v>
      </c>
      <c r="B5" s="5" t="s">
        <v>80</v>
      </c>
      <c r="C5" s="5" t="s">
        <v>81</v>
      </c>
      <c r="D5" s="5" t="s">
        <v>82</v>
      </c>
      <c r="E5" s="5" t="s">
        <v>83</v>
      </c>
      <c r="F5" s="5" t="s">
        <v>84</v>
      </c>
      <c r="G5" s="5" t="s">
        <v>85</v>
      </c>
      <c r="H5" s="5" t="s">
        <v>86</v>
      </c>
      <c r="I5" s="5" t="s">
        <v>87</v>
      </c>
      <c r="J5" s="5" t="s">
        <v>88</v>
      </c>
      <c r="K5" s="5" t="s">
        <v>89</v>
      </c>
      <c r="L5" s="5" t="s">
        <v>90</v>
      </c>
      <c r="M5" s="5" t="s">
        <v>91</v>
      </c>
    </row>
    <row r="6" customFormat="false" ht="15" hidden="false" customHeight="true" outlineLevel="0" collapsed="false">
      <c r="A6" s="6" t="s">
        <v>92</v>
      </c>
      <c r="B6" s="30" t="n">
        <v>400</v>
      </c>
      <c r="C6" s="30" t="n">
        <v>500</v>
      </c>
      <c r="D6" s="30" t="n">
        <v>650</v>
      </c>
      <c r="E6" s="30" t="n">
        <v>700</v>
      </c>
      <c r="F6" s="30" t="n">
        <v>750</v>
      </c>
      <c r="G6" s="30" t="n">
        <v>800</v>
      </c>
      <c r="H6" s="30" t="n">
        <v>900</v>
      </c>
      <c r="I6" s="30" t="n">
        <v>1000</v>
      </c>
      <c r="J6" s="30" t="n">
        <v>1100</v>
      </c>
      <c r="K6" s="30" t="n">
        <v>1200</v>
      </c>
      <c r="L6" s="30" t="n">
        <v>1300</v>
      </c>
      <c r="M6" s="30" t="n">
        <v>1400</v>
      </c>
    </row>
    <row r="7" customFormat="false" ht="15" hidden="false" customHeight="true" outlineLevel="0" collapsed="false">
      <c r="A7" s="6" t="s">
        <v>93</v>
      </c>
      <c r="B7" s="31" t="n">
        <f aca="false">ROUND(B6*Assumptions!$B$11,0)</f>
        <v>24</v>
      </c>
      <c r="C7" s="31" t="n">
        <f aca="false">ROUND(C6*Assumptions!$B$11,0)</f>
        <v>30</v>
      </c>
      <c r="D7" s="31" t="n">
        <f aca="false">ROUND(D6*Assumptions!$B$11,0)</f>
        <v>39</v>
      </c>
      <c r="E7" s="31" t="n">
        <f aca="false">ROUND(E6*Assumptions!$B$11,0)</f>
        <v>42</v>
      </c>
      <c r="F7" s="31" t="n">
        <f aca="false">ROUND(F6*Assumptions!$B$11,0)</f>
        <v>45</v>
      </c>
      <c r="G7" s="31" t="n">
        <f aca="false">ROUND(G6*Assumptions!$B$11,0)</f>
        <v>48</v>
      </c>
      <c r="H7" s="31" t="n">
        <f aca="false">ROUND(H6*Assumptions!$B$11,0)</f>
        <v>54</v>
      </c>
      <c r="I7" s="31" t="n">
        <f aca="false">ROUND(I6*Assumptions!$B$11,0)</f>
        <v>60</v>
      </c>
      <c r="J7" s="31" t="n">
        <f aca="false">ROUND(J6*Assumptions!$B$11,0)</f>
        <v>66</v>
      </c>
      <c r="K7" s="31" t="n">
        <f aca="false">ROUND(K6*Assumptions!$B$11,0)</f>
        <v>72</v>
      </c>
      <c r="L7" s="31" t="n">
        <f aca="false">ROUND(L6*Assumptions!$B$11,0)</f>
        <v>78</v>
      </c>
      <c r="M7" s="31" t="n">
        <f aca="false">ROUND(M6*Assumptions!$B$11,0)</f>
        <v>84</v>
      </c>
    </row>
    <row r="8" customFormat="false" ht="15" hidden="false" customHeight="true" outlineLevel="0" collapsed="false">
      <c r="A8" s="6" t="s">
        <v>94</v>
      </c>
      <c r="B8" s="31" t="n">
        <v>0</v>
      </c>
      <c r="C8" s="31" t="n">
        <f aca="false">ROUND(B9*Assumptions!$B$16,0)</f>
        <v>1</v>
      </c>
      <c r="D8" s="31" t="n">
        <f aca="false">ROUND(C9*Assumptions!$B$16,0)</f>
        <v>2</v>
      </c>
      <c r="E8" s="31" t="n">
        <f aca="false">ROUND(D9*Assumptions!$B$16,0)</f>
        <v>4</v>
      </c>
      <c r="F8" s="31" t="n">
        <f aca="false">ROUND(E9*Assumptions!$B$16,0)</f>
        <v>6</v>
      </c>
      <c r="G8" s="31" t="n">
        <f aca="false">ROUND(F9*Assumptions!$B$16,0)</f>
        <v>8</v>
      </c>
      <c r="H8" s="31" t="n">
        <f aca="false">ROUND(G9*Assumptions!$B$16,0)</f>
        <v>9</v>
      </c>
      <c r="I8" s="31" t="n">
        <f aca="false">ROUND(H9*Assumptions!$B$16,0)</f>
        <v>11</v>
      </c>
      <c r="J8" s="31" t="n">
        <f aca="false">ROUND(I9*Assumptions!$B$16,0)</f>
        <v>14</v>
      </c>
      <c r="K8" s="31" t="n">
        <f aca="false">ROUND(J9*Assumptions!$B$16,0)</f>
        <v>16</v>
      </c>
      <c r="L8" s="31" t="n">
        <f aca="false">ROUND(K9*Assumptions!$B$16,0)</f>
        <v>18</v>
      </c>
      <c r="M8" s="31" t="n">
        <f aca="false">ROUND(L9*Assumptions!$B$16,0)</f>
        <v>21</v>
      </c>
    </row>
    <row r="9" customFormat="false" ht="15" hidden="false" customHeight="true" outlineLevel="0" collapsed="false">
      <c r="A9" s="15" t="s">
        <v>95</v>
      </c>
      <c r="B9" s="32" t="n">
        <f aca="false">B7</f>
        <v>24</v>
      </c>
      <c r="C9" s="32" t="n">
        <f aca="false">B9+C7-C8</f>
        <v>53</v>
      </c>
      <c r="D9" s="32" t="n">
        <f aca="false">C9+D7-D8</f>
        <v>90</v>
      </c>
      <c r="E9" s="32" t="n">
        <f aca="false">D9+E7-E8</f>
        <v>128</v>
      </c>
      <c r="F9" s="32" t="n">
        <f aca="false">E9+F7-F8</f>
        <v>167</v>
      </c>
      <c r="G9" s="32" t="n">
        <f aca="false">F9+G7-G8</f>
        <v>207</v>
      </c>
      <c r="H9" s="32" t="n">
        <f aca="false">G9+H7-H8</f>
        <v>252</v>
      </c>
      <c r="I9" s="32" t="n">
        <f aca="false">H9+I7-I8</f>
        <v>301</v>
      </c>
      <c r="J9" s="32" t="n">
        <f aca="false">I9+J7-J8</f>
        <v>353</v>
      </c>
      <c r="K9" s="32" t="n">
        <f aca="false">J9+K7-K8</f>
        <v>409</v>
      </c>
      <c r="L9" s="32" t="n">
        <f aca="false">K9+L7-L8</f>
        <v>469</v>
      </c>
      <c r="M9" s="32" t="n">
        <f aca="false">L9+M7-M8</f>
        <v>532</v>
      </c>
    </row>
    <row r="10" customFormat="false" ht="15" hidden="false" customHeight="true" outlineLevel="0" collapsed="false">
      <c r="A10" s="6" t="s">
        <v>96</v>
      </c>
      <c r="B10" s="31" t="n">
        <f aca="false">B6-B7</f>
        <v>376</v>
      </c>
      <c r="C10" s="31" t="n">
        <f aca="false">B10+C6-C7</f>
        <v>846</v>
      </c>
      <c r="D10" s="31" t="n">
        <f aca="false">C10+D6-D7</f>
        <v>1457</v>
      </c>
      <c r="E10" s="31" t="n">
        <f aca="false">D10+E6-E7</f>
        <v>2115</v>
      </c>
      <c r="F10" s="31" t="n">
        <f aca="false">E10+F6-F7</f>
        <v>2820</v>
      </c>
      <c r="G10" s="31" t="n">
        <f aca="false">F10+G6-G7</f>
        <v>3572</v>
      </c>
      <c r="H10" s="31" t="n">
        <f aca="false">G10+H6-H7</f>
        <v>4418</v>
      </c>
      <c r="I10" s="31" t="n">
        <f aca="false">H10+I6-I7</f>
        <v>5358</v>
      </c>
      <c r="J10" s="31" t="n">
        <f aca="false">I10+J6-J7</f>
        <v>6392</v>
      </c>
      <c r="K10" s="31" t="n">
        <f aca="false">J10+K6-K7</f>
        <v>7520</v>
      </c>
      <c r="L10" s="31" t="n">
        <f aca="false">K10+L6-L7</f>
        <v>8742</v>
      </c>
      <c r="M10" s="31" t="n">
        <f aca="false">L10+M6-M7</f>
        <v>10058</v>
      </c>
    </row>
    <row r="12" customFormat="false" ht="15" hidden="false" customHeight="true" outlineLevel="0" collapsed="false">
      <c r="A12" s="4" t="s">
        <v>97</v>
      </c>
    </row>
    <row r="13" customFormat="false" ht="15" hidden="false" customHeight="true" outlineLevel="0" collapsed="false">
      <c r="A13" s="5" t="s">
        <v>65</v>
      </c>
      <c r="B13" s="5" t="s">
        <v>80</v>
      </c>
      <c r="C13" s="5" t="s">
        <v>81</v>
      </c>
      <c r="D13" s="5" t="s">
        <v>82</v>
      </c>
      <c r="E13" s="5" t="s">
        <v>83</v>
      </c>
      <c r="F13" s="5" t="s">
        <v>84</v>
      </c>
      <c r="G13" s="5" t="s">
        <v>85</v>
      </c>
      <c r="H13" s="5" t="s">
        <v>86</v>
      </c>
      <c r="I13" s="5" t="s">
        <v>87</v>
      </c>
      <c r="J13" s="5" t="s">
        <v>88</v>
      </c>
      <c r="K13" s="5" t="s">
        <v>89</v>
      </c>
      <c r="L13" s="5" t="s">
        <v>90</v>
      </c>
      <c r="M13" s="5" t="s">
        <v>91</v>
      </c>
    </row>
    <row r="14" customFormat="false" ht="15" hidden="false" customHeight="true" outlineLevel="0" collapsed="false">
      <c r="A14" s="6" t="s">
        <v>98</v>
      </c>
      <c r="B14" s="14" t="n">
        <f aca="false">B15+B9*Assumptions!$B$15</f>
        <v>2484.614</v>
      </c>
      <c r="C14" s="14" t="n">
        <f aca="false">C15+C9*Assumptions!$B$15</f>
        <v>2187.26841666667</v>
      </c>
      <c r="D14" s="14" t="n">
        <f aca="false">D15+D9*Assumptions!$B$15</f>
        <v>2318.1775</v>
      </c>
      <c r="E14" s="14" t="n">
        <f aca="false">E15+E9*Assumptions!$B$15</f>
        <v>2052.67466666667</v>
      </c>
      <c r="F14" s="14" t="n">
        <f aca="false">F15+F9*Assumptions!$B$15</f>
        <v>2190.65991666667</v>
      </c>
      <c r="G14" s="14" t="n">
        <f aca="false">G15+G9*Assumptions!$B$15</f>
        <v>2332.18325</v>
      </c>
      <c r="H14" s="14" t="n">
        <f aca="false">H15+H9*Assumptions!$B$15</f>
        <v>2091.447</v>
      </c>
      <c r="I14" s="14" t="n">
        <f aca="false">I15+I9*Assumptions!$B$15</f>
        <v>2264.81308333333</v>
      </c>
      <c r="J14" s="14" t="n">
        <f aca="false">J15+J9*Assumptions!$B$15</f>
        <v>2448.79341666667</v>
      </c>
      <c r="K14" s="14" t="n">
        <f aca="false">K15+K9*Assumptions!$B$15</f>
        <v>2246.97608333333</v>
      </c>
      <c r="L14" s="14" t="n">
        <f aca="false">L15+L9*Assumptions!$B$15</f>
        <v>2459.26108333333</v>
      </c>
      <c r="M14" s="14" t="n">
        <f aca="false">M15+M9*Assumptions!$B$15</f>
        <v>2682.16033333333</v>
      </c>
    </row>
    <row r="15" customFormat="false" ht="15" hidden="false" customHeight="true" outlineLevel="0" collapsed="false">
      <c r="A15" s="24" t="s">
        <v>99</v>
      </c>
      <c r="B15" s="28" t="n">
        <f aca="false">Founders!B7</f>
        <v>2399.7</v>
      </c>
      <c r="C15" s="28" t="n">
        <f aca="false">Founders!C7</f>
        <v>1999.75</v>
      </c>
      <c r="D15" s="28" t="n">
        <f aca="false">Founders!D7</f>
        <v>1999.75</v>
      </c>
      <c r="E15" s="28" t="n">
        <f aca="false">Founders!E7</f>
        <v>1599.8</v>
      </c>
      <c r="F15" s="28" t="n">
        <f aca="false">Founders!F7</f>
        <v>1599.8</v>
      </c>
      <c r="G15" s="28" t="n">
        <f aca="false">Founders!G7</f>
        <v>1599.8</v>
      </c>
      <c r="H15" s="28" t="n">
        <f aca="false">Founders!H7</f>
        <v>1199.85</v>
      </c>
      <c r="I15" s="28" t="n">
        <f aca="false">Founders!I7</f>
        <v>1199.85</v>
      </c>
      <c r="J15" s="28" t="n">
        <f aca="false">Founders!J7</f>
        <v>1199.85</v>
      </c>
      <c r="K15" s="28" t="n">
        <f aca="false">Founders!K7</f>
        <v>799.9</v>
      </c>
      <c r="L15" s="28" t="n">
        <f aca="false">Founders!L7</f>
        <v>799.9</v>
      </c>
      <c r="M15" s="28" t="n">
        <f aca="false">Founders!M7</f>
        <v>799.9</v>
      </c>
    </row>
    <row r="16" customFormat="false" ht="15" hidden="false" customHeight="true" outlineLevel="0" collapsed="false">
      <c r="A16" s="15" t="s">
        <v>100</v>
      </c>
      <c r="B16" s="17" t="n">
        <f aca="false">B14</f>
        <v>2484.614</v>
      </c>
      <c r="C16" s="17" t="n">
        <f aca="false">B16+C14</f>
        <v>4671.88241666667</v>
      </c>
      <c r="D16" s="17" t="n">
        <f aca="false">C16+D14</f>
        <v>6990.05991666667</v>
      </c>
      <c r="E16" s="17" t="n">
        <f aca="false">D16+E14</f>
        <v>9042.73458333333</v>
      </c>
      <c r="F16" s="17" t="n">
        <f aca="false">E16+F14</f>
        <v>11233.3945</v>
      </c>
      <c r="G16" s="17" t="n">
        <f aca="false">F16+G14</f>
        <v>13565.57775</v>
      </c>
      <c r="H16" s="17" t="n">
        <f aca="false">G16+H14</f>
        <v>15657.02475</v>
      </c>
      <c r="I16" s="17" t="n">
        <f aca="false">H16+I14</f>
        <v>17921.8378333333</v>
      </c>
      <c r="J16" s="17" t="n">
        <f aca="false">I16+J14</f>
        <v>20370.63125</v>
      </c>
      <c r="K16" s="17" t="n">
        <f aca="false">J16+K14</f>
        <v>22617.6073333333</v>
      </c>
      <c r="L16" s="17" t="n">
        <f aca="false">K16+L14</f>
        <v>25076.8684166667</v>
      </c>
      <c r="M16" s="17" t="n">
        <f aca="false">L16+M14</f>
        <v>27759.02875</v>
      </c>
    </row>
    <row r="17" customFormat="false" ht="15" hidden="false" customHeight="true" outlineLevel="0" collapsed="false">
      <c r="A17" s="6" t="s">
        <v>101</v>
      </c>
      <c r="B17" s="14" t="n">
        <f aca="false">Assumptions!$B$30</f>
        <v>648.91</v>
      </c>
      <c r="C17" s="14" t="n">
        <f aca="false">Assumptions!$B$30</f>
        <v>648.91</v>
      </c>
      <c r="D17" s="14" t="n">
        <f aca="false">Assumptions!$B$30</f>
        <v>648.91</v>
      </c>
      <c r="E17" s="14" t="n">
        <f aca="false">Assumptions!$B$30</f>
        <v>648.91</v>
      </c>
      <c r="F17" s="14" t="n">
        <f aca="false">Assumptions!$B$30</f>
        <v>648.91</v>
      </c>
      <c r="G17" s="14" t="n">
        <f aca="false">Assumptions!$B$30</f>
        <v>648.91</v>
      </c>
      <c r="H17" s="14" t="n">
        <f aca="false">Assumptions!$B$30</f>
        <v>648.91</v>
      </c>
      <c r="I17" s="14" t="n">
        <f aca="false">Assumptions!$B$30</f>
        <v>648.91</v>
      </c>
      <c r="J17" s="14" t="n">
        <f aca="false">Assumptions!$B$30</f>
        <v>648.91</v>
      </c>
      <c r="K17" s="14" t="n">
        <f aca="false">Assumptions!$B$30</f>
        <v>648.91</v>
      </c>
      <c r="L17" s="14" t="n">
        <f aca="false">Assumptions!$B$30</f>
        <v>648.91</v>
      </c>
      <c r="M17" s="14" t="n">
        <f aca="false">Assumptions!$B$30</f>
        <v>648.91</v>
      </c>
    </row>
    <row r="18" customFormat="false" ht="15" hidden="false" customHeight="true" outlineLevel="0" collapsed="false">
      <c r="A18" s="15" t="s">
        <v>102</v>
      </c>
      <c r="B18" s="33" t="n">
        <f aca="false">B14-B16</f>
        <v>0</v>
      </c>
      <c r="C18" s="33" t="n">
        <f aca="false">C14-C16</f>
        <v>-2484.614</v>
      </c>
      <c r="D18" s="33" t="n">
        <f aca="false">D14-D16</f>
        <v>-4671.88241666667</v>
      </c>
      <c r="E18" s="33" t="n">
        <f aca="false">E14-E16</f>
        <v>-6990.05991666667</v>
      </c>
      <c r="F18" s="33" t="n">
        <f aca="false">F14-F16</f>
        <v>-9042.73458333333</v>
      </c>
      <c r="G18" s="33" t="n">
        <f aca="false">G14-G16</f>
        <v>-11233.3945</v>
      </c>
      <c r="H18" s="33" t="n">
        <f aca="false">H14-H16</f>
        <v>-13565.57775</v>
      </c>
      <c r="I18" s="33" t="n">
        <f aca="false">I14-I16</f>
        <v>-15657.02475</v>
      </c>
      <c r="J18" s="33" t="n">
        <f aca="false">J14-J16</f>
        <v>-17921.8378333333</v>
      </c>
      <c r="K18" s="33" t="n">
        <f aca="false">K14-K16</f>
        <v>-20370.63125</v>
      </c>
      <c r="L18" s="33" t="n">
        <f aca="false">L14-L16</f>
        <v>-22617.6073333333</v>
      </c>
      <c r="M18" s="33" t="n">
        <f aca="false">M14-M16</f>
        <v>-25076.8684166667</v>
      </c>
    </row>
    <row r="19" customFormat="false" ht="15" hidden="false" customHeight="true" outlineLevel="0" collapsed="false">
      <c r="A19" s="34" t="s">
        <v>103</v>
      </c>
      <c r="B19" s="35" t="n">
        <f aca="false">B17</f>
        <v>648.91</v>
      </c>
      <c r="C19" s="35" t="n">
        <f aca="false">B18+C17</f>
        <v>648.91</v>
      </c>
      <c r="D19" s="35" t="n">
        <f aca="false">C18+D17</f>
        <v>-1835.704</v>
      </c>
      <c r="E19" s="35" t="n">
        <f aca="false">D18+E17</f>
        <v>-4022.97241666667</v>
      </c>
      <c r="F19" s="35" t="n">
        <f aca="false">E18+F17</f>
        <v>-6341.14991666667</v>
      </c>
      <c r="G19" s="35" t="n">
        <f aca="false">F18+G17</f>
        <v>-8393.82458333333</v>
      </c>
      <c r="H19" s="35" t="n">
        <f aca="false">G18+H17</f>
        <v>-10584.4845</v>
      </c>
      <c r="I19" s="35" t="n">
        <f aca="false">H18+I17</f>
        <v>-12916.66775</v>
      </c>
      <c r="J19" s="35" t="n">
        <f aca="false">I18+J17</f>
        <v>-15008.11475</v>
      </c>
      <c r="K19" s="35" t="n">
        <f aca="false">J18+K17</f>
        <v>-17272.9278333333</v>
      </c>
      <c r="L19" s="35" t="n">
        <f aca="false">K18+L17</f>
        <v>-19721.72125</v>
      </c>
      <c r="M19" s="35" t="n">
        <f aca="false">L18+M17</f>
        <v>-21968.6973333333</v>
      </c>
    </row>
    <row r="20" customFormat="false" ht="15" hidden="false" customHeight="true" outlineLevel="0" collapsed="false"/>
    <row r="21" customFormat="false" ht="15" hidden="false" customHeight="true" outlineLevel="0" collapsed="false">
      <c r="A21" s="4" t="s">
        <v>104</v>
      </c>
    </row>
    <row r="22" customFormat="false" ht="15" hidden="false" customHeight="true" outlineLevel="0" collapsed="false">
      <c r="A22" s="6" t="s">
        <v>105</v>
      </c>
      <c r="B22" s="31" t="n">
        <f aca="false">SUM(B6:M6)</f>
        <v>10700</v>
      </c>
    </row>
    <row r="23" customFormat="false" ht="15" hidden="false" customHeight="true" outlineLevel="0" collapsed="false">
      <c r="A23" s="6" t="s">
        <v>106</v>
      </c>
      <c r="B23" s="31" t="n">
        <f aca="false">M9</f>
        <v>532</v>
      </c>
    </row>
    <row r="24" customFormat="false" ht="15" hidden="false" customHeight="true" outlineLevel="0" collapsed="false">
      <c r="A24" s="15" t="s">
        <v>107</v>
      </c>
      <c r="B24" s="17" t="n">
        <f aca="false">M15</f>
        <v>799.9</v>
      </c>
    </row>
    <row r="25" customFormat="false" ht="15" hidden="false" customHeight="true" outlineLevel="0" collapsed="false">
      <c r="A25" s="6" t="s">
        <v>108</v>
      </c>
      <c r="B25" s="14" t="n">
        <f aca="false">SUM(B16:M16)</f>
        <v>177391.2615</v>
      </c>
    </row>
    <row r="26" customFormat="false" ht="15" hidden="false" customHeight="true" outlineLevel="0" collapsed="false">
      <c r="A26" s="36" t="s">
        <v>109</v>
      </c>
      <c r="B26" s="37" t="n">
        <f aca="false">B23-B24</f>
        <v>-267.9</v>
      </c>
    </row>
    <row r="27" customFormat="false" ht="15" hidden="false" customHeight="true" outlineLevel="0" collapsed="false">
      <c r="A27" s="6" t="s">
        <v>110</v>
      </c>
      <c r="B27" s="14" t="n">
        <f aca="false">M14*12</f>
        <v>32185.924</v>
      </c>
    </row>
    <row r="28" customFormat="false" ht="15" hidden="false" customHeight="true" outlineLevel="0" collapsed="false">
      <c r="A28" s="6" t="s">
        <v>111</v>
      </c>
      <c r="B28" s="8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14" min="2" style="1" width="16"/>
  </cols>
  <sheetData>
    <row r="1" customFormat="false" ht="17.25" hidden="false" customHeight="true" outlineLevel="0" collapsed="false">
      <c r="A1" s="2" t="s">
        <v>113</v>
      </c>
    </row>
    <row r="2" customFormat="false" ht="15" hidden="false" customHeight="true" outlineLevel="0" collapsed="false">
      <c r="A2" s="3" t="s">
        <v>78</v>
      </c>
    </row>
    <row r="4" customFormat="false" ht="15" hidden="false" customHeight="true" outlineLevel="0" collapsed="false">
      <c r="A4" s="4" t="s">
        <v>79</v>
      </c>
    </row>
    <row r="5" customFormat="false" ht="15" hidden="false" customHeight="true" outlineLevel="0" collapsed="false">
      <c r="A5" s="5" t="s">
        <v>65</v>
      </c>
      <c r="B5" s="5" t="s">
        <v>80</v>
      </c>
      <c r="C5" s="5" t="s">
        <v>81</v>
      </c>
      <c r="D5" s="5" t="s">
        <v>82</v>
      </c>
      <c r="E5" s="5" t="s">
        <v>83</v>
      </c>
      <c r="F5" s="5" t="s">
        <v>84</v>
      </c>
      <c r="G5" s="5" t="s">
        <v>85</v>
      </c>
      <c r="H5" s="5" t="s">
        <v>86</v>
      </c>
      <c r="I5" s="5" t="s">
        <v>87</v>
      </c>
      <c r="J5" s="5" t="s">
        <v>88</v>
      </c>
      <c r="K5" s="5" t="s">
        <v>89</v>
      </c>
      <c r="L5" s="5" t="s">
        <v>90</v>
      </c>
      <c r="M5" s="5" t="s">
        <v>91</v>
      </c>
    </row>
    <row r="6" customFormat="false" ht="15" hidden="false" customHeight="true" outlineLevel="0" collapsed="false">
      <c r="A6" s="6" t="s">
        <v>92</v>
      </c>
      <c r="B6" s="30" t="n">
        <v>600</v>
      </c>
      <c r="C6" s="30" t="n">
        <v>800</v>
      </c>
      <c r="D6" s="30" t="n">
        <v>1100</v>
      </c>
      <c r="E6" s="30" t="n">
        <v>1300</v>
      </c>
      <c r="F6" s="30" t="n">
        <v>1500</v>
      </c>
      <c r="G6" s="30" t="n">
        <v>1800</v>
      </c>
      <c r="H6" s="30" t="n">
        <v>2000</v>
      </c>
      <c r="I6" s="30" t="n">
        <v>2200</v>
      </c>
      <c r="J6" s="30" t="n">
        <v>2500</v>
      </c>
      <c r="K6" s="30" t="n">
        <v>2800</v>
      </c>
      <c r="L6" s="30" t="n">
        <v>3000</v>
      </c>
      <c r="M6" s="30" t="n">
        <v>3200</v>
      </c>
    </row>
    <row r="7" customFormat="false" ht="15" hidden="false" customHeight="true" outlineLevel="0" collapsed="false">
      <c r="A7" s="6" t="s">
        <v>93</v>
      </c>
      <c r="B7" s="31" t="n">
        <f aca="false">ROUND(B6*Assumptions!$B$11,0)</f>
        <v>36</v>
      </c>
      <c r="C7" s="31" t="n">
        <f aca="false">ROUND(C6*Assumptions!$B$11,0)</f>
        <v>48</v>
      </c>
      <c r="D7" s="31" t="n">
        <f aca="false">ROUND(D6*Assumptions!$B$11,0)</f>
        <v>66</v>
      </c>
      <c r="E7" s="31" t="n">
        <f aca="false">ROUND(E6*Assumptions!$B$11,0)</f>
        <v>78</v>
      </c>
      <c r="F7" s="31" t="n">
        <f aca="false">ROUND(F6*Assumptions!$B$11,0)</f>
        <v>90</v>
      </c>
      <c r="G7" s="31" t="n">
        <f aca="false">ROUND(G6*Assumptions!$B$11,0)</f>
        <v>108</v>
      </c>
      <c r="H7" s="31" t="n">
        <f aca="false">ROUND(H6*Assumptions!$B$11,0)</f>
        <v>120</v>
      </c>
      <c r="I7" s="31" t="n">
        <f aca="false">ROUND(I6*Assumptions!$B$11,0)</f>
        <v>132</v>
      </c>
      <c r="J7" s="31" t="n">
        <f aca="false">ROUND(J6*Assumptions!$B$11,0)</f>
        <v>150</v>
      </c>
      <c r="K7" s="31" t="n">
        <f aca="false">ROUND(K6*Assumptions!$B$11,0)</f>
        <v>168</v>
      </c>
      <c r="L7" s="31" t="n">
        <f aca="false">ROUND(L6*Assumptions!$B$11,0)</f>
        <v>180</v>
      </c>
      <c r="M7" s="31" t="n">
        <f aca="false">ROUND(M6*Assumptions!$B$11,0)</f>
        <v>192</v>
      </c>
    </row>
    <row r="8" customFormat="false" ht="15" hidden="false" customHeight="true" outlineLevel="0" collapsed="false">
      <c r="A8" s="6" t="s">
        <v>94</v>
      </c>
      <c r="B8" s="31" t="n">
        <v>0</v>
      </c>
      <c r="C8" s="31" t="n">
        <f aca="false">ROUND(B9*Assumptions!$B$16,0)</f>
        <v>2</v>
      </c>
      <c r="D8" s="31" t="n">
        <f aca="false">ROUND(C9*Assumptions!$B$16,0)</f>
        <v>4</v>
      </c>
      <c r="E8" s="31" t="n">
        <f aca="false">ROUND(D9*Assumptions!$B$16,0)</f>
        <v>6</v>
      </c>
      <c r="F8" s="31" t="n">
        <f aca="false">ROUND(E9*Assumptions!$B$16,0)</f>
        <v>10</v>
      </c>
      <c r="G8" s="31" t="n">
        <f aca="false">ROUND(F9*Assumptions!$B$16,0)</f>
        <v>13</v>
      </c>
      <c r="H8" s="31" t="n">
        <f aca="false">ROUND(G9*Assumptions!$B$16,0)</f>
        <v>18</v>
      </c>
      <c r="I8" s="31" t="n">
        <f aca="false">ROUND(H9*Assumptions!$B$16,0)</f>
        <v>22</v>
      </c>
      <c r="J8" s="31" t="n">
        <f aca="false">ROUND(I9*Assumptions!$B$16,0)</f>
        <v>27</v>
      </c>
      <c r="K8" s="31" t="n">
        <f aca="false">ROUND(J9*Assumptions!$B$16,0)</f>
        <v>33</v>
      </c>
      <c r="L8" s="31" t="n">
        <f aca="false">ROUND(K9*Assumptions!$B$16,0)</f>
        <v>39</v>
      </c>
      <c r="M8" s="31" t="n">
        <f aca="false">ROUND(L9*Assumptions!$B$16,0)</f>
        <v>45</v>
      </c>
    </row>
    <row r="9" customFormat="false" ht="15" hidden="false" customHeight="true" outlineLevel="0" collapsed="false">
      <c r="A9" s="15" t="s">
        <v>95</v>
      </c>
      <c r="B9" s="32" t="n">
        <f aca="false">B7</f>
        <v>36</v>
      </c>
      <c r="C9" s="32" t="n">
        <f aca="false">B9+C7-C8</f>
        <v>82</v>
      </c>
      <c r="D9" s="32" t="n">
        <f aca="false">C9+D7-D8</f>
        <v>144</v>
      </c>
      <c r="E9" s="32" t="n">
        <f aca="false">D9+E7-E8</f>
        <v>216</v>
      </c>
      <c r="F9" s="32" t="n">
        <f aca="false">E9+F7-F8</f>
        <v>296</v>
      </c>
      <c r="G9" s="32" t="n">
        <f aca="false">F9+G7-G8</f>
        <v>391</v>
      </c>
      <c r="H9" s="32" t="n">
        <f aca="false">G9+H7-H8</f>
        <v>493</v>
      </c>
      <c r="I9" s="32" t="n">
        <f aca="false">H9+I7-I8</f>
        <v>603</v>
      </c>
      <c r="J9" s="32" t="n">
        <f aca="false">I9+J7-J8</f>
        <v>726</v>
      </c>
      <c r="K9" s="32" t="n">
        <f aca="false">J9+K7-K8</f>
        <v>861</v>
      </c>
      <c r="L9" s="32" t="n">
        <f aca="false">K9+L7-L8</f>
        <v>1002</v>
      </c>
      <c r="M9" s="32" t="n">
        <f aca="false">L9+M7-M8</f>
        <v>1149</v>
      </c>
    </row>
    <row r="10" customFormat="false" ht="15" hidden="false" customHeight="true" outlineLevel="0" collapsed="false">
      <c r="A10" s="6" t="s">
        <v>96</v>
      </c>
      <c r="B10" s="31" t="n">
        <f aca="false">B6-B7</f>
        <v>564</v>
      </c>
      <c r="C10" s="31" t="n">
        <f aca="false">B10+C6-C7</f>
        <v>1316</v>
      </c>
      <c r="D10" s="31" t="n">
        <f aca="false">C10+D6-D7</f>
        <v>2350</v>
      </c>
      <c r="E10" s="31" t="n">
        <f aca="false">D10+E6-E7</f>
        <v>3572</v>
      </c>
      <c r="F10" s="31" t="n">
        <f aca="false">E10+F6-F7</f>
        <v>4982</v>
      </c>
      <c r="G10" s="31" t="n">
        <f aca="false">F10+G6-G7</f>
        <v>6674</v>
      </c>
      <c r="H10" s="31" t="n">
        <f aca="false">G10+H6-H7</f>
        <v>8554</v>
      </c>
      <c r="I10" s="31" t="n">
        <f aca="false">H10+I6-I7</f>
        <v>10622</v>
      </c>
      <c r="J10" s="31" t="n">
        <f aca="false">I10+J6-J7</f>
        <v>12972</v>
      </c>
      <c r="K10" s="31" t="n">
        <f aca="false">J10+K6-K7</f>
        <v>15604</v>
      </c>
      <c r="L10" s="31" t="n">
        <f aca="false">K10+L6-L7</f>
        <v>18424</v>
      </c>
      <c r="M10" s="31" t="n">
        <f aca="false">L10+M6-M7</f>
        <v>21432</v>
      </c>
    </row>
    <row r="12" customFormat="false" ht="15" hidden="false" customHeight="true" outlineLevel="0" collapsed="false">
      <c r="A12" s="4" t="s">
        <v>97</v>
      </c>
    </row>
    <row r="13" customFormat="false" ht="15" hidden="false" customHeight="true" outlineLevel="0" collapsed="false">
      <c r="A13" s="5" t="s">
        <v>65</v>
      </c>
      <c r="B13" s="5" t="s">
        <v>80</v>
      </c>
      <c r="C13" s="5" t="s">
        <v>81</v>
      </c>
      <c r="D13" s="5" t="s">
        <v>82</v>
      </c>
      <c r="E13" s="5" t="s">
        <v>83</v>
      </c>
      <c r="F13" s="5" t="s">
        <v>84</v>
      </c>
      <c r="G13" s="5" t="s">
        <v>85</v>
      </c>
      <c r="H13" s="5" t="s">
        <v>86</v>
      </c>
      <c r="I13" s="5" t="s">
        <v>87</v>
      </c>
      <c r="J13" s="5" t="s">
        <v>88</v>
      </c>
      <c r="K13" s="5" t="s">
        <v>89</v>
      </c>
      <c r="L13" s="5" t="s">
        <v>90</v>
      </c>
      <c r="M13" s="5" t="s">
        <v>91</v>
      </c>
    </row>
    <row r="14" customFormat="false" ht="15" hidden="false" customHeight="true" outlineLevel="0" collapsed="false">
      <c r="A14" s="6" t="s">
        <v>98</v>
      </c>
      <c r="B14" s="14" t="n">
        <f aca="false">B15+B9*Assumptions!$B$15</f>
        <v>2527.071</v>
      </c>
      <c r="C14" s="14" t="n">
        <f aca="false">C15+C9*Assumptions!$B$15</f>
        <v>2289.87283333333</v>
      </c>
      <c r="D14" s="14" t="n">
        <f aca="false">D15+D9*Assumptions!$B$15</f>
        <v>2509.234</v>
      </c>
      <c r="E14" s="14" t="n">
        <f aca="false">E15+E9*Assumptions!$B$15</f>
        <v>2364.026</v>
      </c>
      <c r="F14" s="14" t="n">
        <f aca="false">F15+F9*Assumptions!$B$15</f>
        <v>2647.07266666667</v>
      </c>
      <c r="G14" s="14" t="n">
        <f aca="false">G15+G9*Assumptions!$B$15</f>
        <v>2983.19058333333</v>
      </c>
      <c r="H14" s="14" t="n">
        <f aca="false">H15+H9*Assumptions!$B$15</f>
        <v>2944.12508333333</v>
      </c>
      <c r="I14" s="14" t="n">
        <f aca="false">I15+I9*Assumptions!$B$15</f>
        <v>3333.31425</v>
      </c>
      <c r="J14" s="14" t="n">
        <f aca="false">J15+J9*Assumptions!$B$15</f>
        <v>3768.4985</v>
      </c>
      <c r="K14" s="14" t="n">
        <f aca="false">K15+K9*Assumptions!$B$15</f>
        <v>3846.18975</v>
      </c>
      <c r="L14" s="14" t="n">
        <f aca="false">L15+L9*Assumptions!$B$15</f>
        <v>4345.0595</v>
      </c>
      <c r="M14" s="14" t="n">
        <f aca="false">M15+M9*Assumptions!$B$15</f>
        <v>4865.15775</v>
      </c>
    </row>
    <row r="15" customFormat="false" ht="15" hidden="false" customHeight="true" outlineLevel="0" collapsed="false">
      <c r="A15" s="24" t="s">
        <v>99</v>
      </c>
      <c r="B15" s="28" t="n">
        <f aca="false">Founders!B7</f>
        <v>2399.7</v>
      </c>
      <c r="C15" s="28" t="n">
        <f aca="false">Founders!C7</f>
        <v>1999.75</v>
      </c>
      <c r="D15" s="28" t="n">
        <f aca="false">Founders!D7</f>
        <v>1999.75</v>
      </c>
      <c r="E15" s="28" t="n">
        <f aca="false">Founders!E7</f>
        <v>1599.8</v>
      </c>
      <c r="F15" s="28" t="n">
        <f aca="false">Founders!F7</f>
        <v>1599.8</v>
      </c>
      <c r="G15" s="28" t="n">
        <f aca="false">Founders!G7</f>
        <v>1599.8</v>
      </c>
      <c r="H15" s="28" t="n">
        <f aca="false">Founders!H7</f>
        <v>1199.85</v>
      </c>
      <c r="I15" s="28" t="n">
        <f aca="false">Founders!I7</f>
        <v>1199.85</v>
      </c>
      <c r="J15" s="28" t="n">
        <f aca="false">Founders!J7</f>
        <v>1199.85</v>
      </c>
      <c r="K15" s="28" t="n">
        <f aca="false">Founders!K7</f>
        <v>799.9</v>
      </c>
      <c r="L15" s="28" t="n">
        <f aca="false">Founders!L7</f>
        <v>799.9</v>
      </c>
      <c r="M15" s="28" t="n">
        <f aca="false">Founders!M7</f>
        <v>799.9</v>
      </c>
    </row>
    <row r="16" customFormat="false" ht="15" hidden="false" customHeight="true" outlineLevel="0" collapsed="false">
      <c r="A16" s="15" t="s">
        <v>100</v>
      </c>
      <c r="B16" s="17" t="n">
        <f aca="false">B14</f>
        <v>2527.071</v>
      </c>
      <c r="C16" s="17" t="n">
        <f aca="false">B16+C14</f>
        <v>4816.94383333333</v>
      </c>
      <c r="D16" s="17" t="n">
        <f aca="false">C16+D14</f>
        <v>7326.17783333333</v>
      </c>
      <c r="E16" s="17" t="n">
        <f aca="false">D16+E14</f>
        <v>9690.20383333333</v>
      </c>
      <c r="F16" s="17" t="n">
        <f aca="false">E16+F14</f>
        <v>12337.2765</v>
      </c>
      <c r="G16" s="17" t="n">
        <f aca="false">F16+G14</f>
        <v>15320.4670833333</v>
      </c>
      <c r="H16" s="17" t="n">
        <f aca="false">G16+H14</f>
        <v>18264.5921666667</v>
      </c>
      <c r="I16" s="17" t="n">
        <f aca="false">H16+I14</f>
        <v>21597.9064166667</v>
      </c>
      <c r="J16" s="17" t="n">
        <f aca="false">I16+J14</f>
        <v>25366.4049166667</v>
      </c>
      <c r="K16" s="17" t="n">
        <f aca="false">J16+K14</f>
        <v>29212.5946666667</v>
      </c>
      <c r="L16" s="17" t="n">
        <f aca="false">K16+L14</f>
        <v>33557.6541666667</v>
      </c>
      <c r="M16" s="17" t="n">
        <f aca="false">L16+M14</f>
        <v>38422.8119166667</v>
      </c>
    </row>
    <row r="17" customFormat="false" ht="15" hidden="false" customHeight="true" outlineLevel="0" collapsed="false">
      <c r="A17" s="6" t="s">
        <v>101</v>
      </c>
      <c r="B17" s="14" t="n">
        <f aca="false">Assumptions!$B$30</f>
        <v>648.91</v>
      </c>
      <c r="C17" s="14" t="n">
        <f aca="false">Assumptions!$B$30</f>
        <v>648.91</v>
      </c>
      <c r="D17" s="14" t="n">
        <f aca="false">Assumptions!$B$30</f>
        <v>648.91</v>
      </c>
      <c r="E17" s="14" t="n">
        <f aca="false">Assumptions!$B$30</f>
        <v>648.91</v>
      </c>
      <c r="F17" s="14" t="n">
        <f aca="false">Assumptions!$B$30</f>
        <v>648.91</v>
      </c>
      <c r="G17" s="14" t="n">
        <f aca="false">Assumptions!$B$30</f>
        <v>648.91</v>
      </c>
      <c r="H17" s="14" t="n">
        <f aca="false">Assumptions!$B$30</f>
        <v>648.91</v>
      </c>
      <c r="I17" s="14" t="n">
        <f aca="false">Assumptions!$B$30</f>
        <v>648.91</v>
      </c>
      <c r="J17" s="14" t="n">
        <f aca="false">Assumptions!$B$30</f>
        <v>648.91</v>
      </c>
      <c r="K17" s="14" t="n">
        <f aca="false">Assumptions!$B$30</f>
        <v>648.91</v>
      </c>
      <c r="L17" s="14" t="n">
        <f aca="false">Assumptions!$B$30</f>
        <v>648.91</v>
      </c>
      <c r="M17" s="14" t="n">
        <f aca="false">Assumptions!$B$30</f>
        <v>648.91</v>
      </c>
    </row>
    <row r="18" customFormat="false" ht="15" hidden="false" customHeight="true" outlineLevel="0" collapsed="false">
      <c r="A18" s="15" t="s">
        <v>102</v>
      </c>
      <c r="B18" s="33" t="n">
        <f aca="false">B14-B16</f>
        <v>0</v>
      </c>
      <c r="C18" s="33" t="n">
        <f aca="false">C14-C16</f>
        <v>-2527.071</v>
      </c>
      <c r="D18" s="33" t="n">
        <f aca="false">D14-D16</f>
        <v>-4816.94383333333</v>
      </c>
      <c r="E18" s="33" t="n">
        <f aca="false">E14-E16</f>
        <v>-7326.17783333333</v>
      </c>
      <c r="F18" s="33" t="n">
        <f aca="false">F14-F16</f>
        <v>-9690.20383333333</v>
      </c>
      <c r="G18" s="33" t="n">
        <f aca="false">G14-G16</f>
        <v>-12337.2765</v>
      </c>
      <c r="H18" s="33" t="n">
        <f aca="false">H14-H16</f>
        <v>-15320.4670833333</v>
      </c>
      <c r="I18" s="33" t="n">
        <f aca="false">I14-I16</f>
        <v>-18264.5921666667</v>
      </c>
      <c r="J18" s="33" t="n">
        <f aca="false">J14-J16</f>
        <v>-21597.9064166667</v>
      </c>
      <c r="K18" s="33" t="n">
        <f aca="false">K14-K16</f>
        <v>-25366.4049166667</v>
      </c>
      <c r="L18" s="33" t="n">
        <f aca="false">L14-L16</f>
        <v>-29212.5946666667</v>
      </c>
      <c r="M18" s="33" t="n">
        <f aca="false">M14-M16</f>
        <v>-33557.6541666667</v>
      </c>
    </row>
    <row r="19" customFormat="false" ht="15" hidden="false" customHeight="true" outlineLevel="0" collapsed="false">
      <c r="A19" s="34" t="s">
        <v>103</v>
      </c>
      <c r="B19" s="35" t="n">
        <f aca="false">B17</f>
        <v>648.91</v>
      </c>
      <c r="C19" s="35" t="n">
        <f aca="false">B18+C17</f>
        <v>648.91</v>
      </c>
      <c r="D19" s="35" t="n">
        <f aca="false">C18+D17</f>
        <v>-1878.161</v>
      </c>
      <c r="E19" s="35" t="n">
        <f aca="false">D18+E17</f>
        <v>-4168.03383333333</v>
      </c>
      <c r="F19" s="35" t="n">
        <f aca="false">E18+F17</f>
        <v>-6677.26783333333</v>
      </c>
      <c r="G19" s="35" t="n">
        <f aca="false">F18+G17</f>
        <v>-9041.29383333333</v>
      </c>
      <c r="H19" s="35" t="n">
        <f aca="false">G18+H17</f>
        <v>-11688.3665</v>
      </c>
      <c r="I19" s="35" t="n">
        <f aca="false">H18+I17</f>
        <v>-14671.5570833333</v>
      </c>
      <c r="J19" s="35" t="n">
        <f aca="false">I18+J17</f>
        <v>-17615.6821666667</v>
      </c>
      <c r="K19" s="35" t="n">
        <f aca="false">J18+K17</f>
        <v>-20948.9964166667</v>
      </c>
      <c r="L19" s="35" t="n">
        <f aca="false">K18+L17</f>
        <v>-24717.4949166667</v>
      </c>
      <c r="M19" s="35" t="n">
        <f aca="false">L18+M17</f>
        <v>-28563.6846666667</v>
      </c>
    </row>
    <row r="20" customFormat="false" ht="15" hidden="false" customHeight="true" outlineLevel="0" collapsed="false"/>
    <row r="21" customFormat="false" ht="15" hidden="false" customHeight="true" outlineLevel="0" collapsed="false">
      <c r="A21" s="4" t="s">
        <v>104</v>
      </c>
    </row>
    <row r="22" customFormat="false" ht="15" hidden="false" customHeight="true" outlineLevel="0" collapsed="false">
      <c r="A22" s="6" t="s">
        <v>105</v>
      </c>
      <c r="B22" s="31" t="n">
        <f aca="false">SUM(B6:M6)</f>
        <v>22800</v>
      </c>
    </row>
    <row r="23" customFormat="false" ht="15" hidden="false" customHeight="true" outlineLevel="0" collapsed="false">
      <c r="A23" s="6" t="s">
        <v>106</v>
      </c>
      <c r="B23" s="31" t="n">
        <f aca="false">M9</f>
        <v>1149</v>
      </c>
    </row>
    <row r="24" customFormat="false" ht="15" hidden="false" customHeight="true" outlineLevel="0" collapsed="false">
      <c r="A24" s="15" t="s">
        <v>107</v>
      </c>
      <c r="B24" s="17" t="n">
        <f aca="false">M15</f>
        <v>799.9</v>
      </c>
    </row>
    <row r="25" customFormat="false" ht="15" hidden="false" customHeight="true" outlineLevel="0" collapsed="false">
      <c r="A25" s="6" t="s">
        <v>108</v>
      </c>
      <c r="B25" s="14" t="n">
        <f aca="false">SUM(B16:M16)</f>
        <v>218440.104333333</v>
      </c>
    </row>
    <row r="26" customFormat="false" ht="15" hidden="false" customHeight="true" outlineLevel="0" collapsed="false">
      <c r="A26" s="36" t="s">
        <v>109</v>
      </c>
      <c r="B26" s="37" t="n">
        <f aca="false">B23-B24</f>
        <v>349.1</v>
      </c>
    </row>
    <row r="27" customFormat="false" ht="15" hidden="false" customHeight="true" outlineLevel="0" collapsed="false">
      <c r="A27" s="6" t="s">
        <v>110</v>
      </c>
      <c r="B27" s="14" t="n">
        <f aca="false">M14*12</f>
        <v>58381.893</v>
      </c>
    </row>
    <row r="28" customFormat="false" ht="15" hidden="false" customHeight="true" outlineLevel="0" collapsed="false">
      <c r="A28" s="6" t="s">
        <v>111</v>
      </c>
      <c r="B28" s="8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14" min="2" style="1" width="16"/>
  </cols>
  <sheetData>
    <row r="1" customFormat="false" ht="17.25" hidden="false" customHeight="true" outlineLevel="0" collapsed="false">
      <c r="A1" s="2" t="s">
        <v>114</v>
      </c>
    </row>
    <row r="2" customFormat="false" ht="15" hidden="false" customHeight="true" outlineLevel="0" collapsed="false">
      <c r="A2" s="3" t="s">
        <v>78</v>
      </c>
    </row>
    <row r="4" customFormat="false" ht="15" hidden="false" customHeight="true" outlineLevel="0" collapsed="false">
      <c r="A4" s="4" t="s">
        <v>79</v>
      </c>
    </row>
    <row r="5" customFormat="false" ht="15" hidden="false" customHeight="true" outlineLevel="0" collapsed="false">
      <c r="A5" s="5" t="s">
        <v>65</v>
      </c>
      <c r="B5" s="5" t="s">
        <v>80</v>
      </c>
      <c r="C5" s="5" t="s">
        <v>81</v>
      </c>
      <c r="D5" s="5" t="s">
        <v>82</v>
      </c>
      <c r="E5" s="5" t="s">
        <v>83</v>
      </c>
      <c r="F5" s="5" t="s">
        <v>84</v>
      </c>
      <c r="G5" s="5" t="s">
        <v>85</v>
      </c>
      <c r="H5" s="5" t="s">
        <v>86</v>
      </c>
      <c r="I5" s="5" t="s">
        <v>87</v>
      </c>
      <c r="J5" s="5" t="s">
        <v>88</v>
      </c>
      <c r="K5" s="5" t="s">
        <v>89</v>
      </c>
      <c r="L5" s="5" t="s">
        <v>90</v>
      </c>
      <c r="M5" s="5" t="s">
        <v>91</v>
      </c>
    </row>
    <row r="6" customFormat="false" ht="15" hidden="false" customHeight="true" outlineLevel="0" collapsed="false">
      <c r="A6" s="6" t="s">
        <v>92</v>
      </c>
      <c r="B6" s="30" t="n">
        <v>1000</v>
      </c>
      <c r="C6" s="30" t="n">
        <v>1500</v>
      </c>
      <c r="D6" s="30" t="n">
        <v>2500</v>
      </c>
      <c r="E6" s="30" t="n">
        <v>3500</v>
      </c>
      <c r="F6" s="30" t="n">
        <v>4000</v>
      </c>
      <c r="G6" s="30" t="n">
        <v>4500</v>
      </c>
      <c r="H6" s="30" t="n">
        <v>5000</v>
      </c>
      <c r="I6" s="30" t="n">
        <v>5500</v>
      </c>
      <c r="J6" s="30" t="n">
        <v>6000</v>
      </c>
      <c r="K6" s="30" t="n">
        <v>6500</v>
      </c>
      <c r="L6" s="30" t="n">
        <v>7000</v>
      </c>
      <c r="M6" s="30" t="n">
        <v>7500</v>
      </c>
    </row>
    <row r="7" customFormat="false" ht="15" hidden="false" customHeight="true" outlineLevel="0" collapsed="false">
      <c r="A7" s="6" t="s">
        <v>93</v>
      </c>
      <c r="B7" s="31" t="n">
        <f aca="false">ROUND(B6*Assumptions!$B$11,0)</f>
        <v>60</v>
      </c>
      <c r="C7" s="31" t="n">
        <f aca="false">ROUND(C6*Assumptions!$B$11,0)</f>
        <v>90</v>
      </c>
      <c r="D7" s="31" t="n">
        <f aca="false">ROUND(D6*Assumptions!$B$11,0)</f>
        <v>150</v>
      </c>
      <c r="E7" s="31" t="n">
        <f aca="false">ROUND(E6*Assumptions!$B$11,0)</f>
        <v>210</v>
      </c>
      <c r="F7" s="31" t="n">
        <f aca="false">ROUND(F6*Assumptions!$B$11,0)</f>
        <v>240</v>
      </c>
      <c r="G7" s="31" t="n">
        <f aca="false">ROUND(G6*Assumptions!$B$11,0)</f>
        <v>270</v>
      </c>
      <c r="H7" s="31" t="n">
        <f aca="false">ROUND(H6*Assumptions!$B$11,0)</f>
        <v>300</v>
      </c>
      <c r="I7" s="31" t="n">
        <f aca="false">ROUND(I6*Assumptions!$B$11,0)</f>
        <v>330</v>
      </c>
      <c r="J7" s="31" t="n">
        <f aca="false">ROUND(J6*Assumptions!$B$11,0)</f>
        <v>360</v>
      </c>
      <c r="K7" s="31" t="n">
        <f aca="false">ROUND(K6*Assumptions!$B$11,0)</f>
        <v>390</v>
      </c>
      <c r="L7" s="31" t="n">
        <f aca="false">ROUND(L6*Assumptions!$B$11,0)</f>
        <v>420</v>
      </c>
      <c r="M7" s="31" t="n">
        <f aca="false">ROUND(M6*Assumptions!$B$11,0)</f>
        <v>450</v>
      </c>
    </row>
    <row r="8" customFormat="false" ht="15" hidden="false" customHeight="true" outlineLevel="0" collapsed="false">
      <c r="A8" s="6" t="s">
        <v>94</v>
      </c>
      <c r="B8" s="31" t="n">
        <v>0</v>
      </c>
      <c r="C8" s="31" t="n">
        <f aca="false">ROUND(B9*Assumptions!$B$16,0)</f>
        <v>3</v>
      </c>
      <c r="D8" s="31" t="n">
        <f aca="false">ROUND(C9*Assumptions!$B$16,0)</f>
        <v>7</v>
      </c>
      <c r="E8" s="31" t="n">
        <f aca="false">ROUND(D9*Assumptions!$B$16,0)</f>
        <v>13</v>
      </c>
      <c r="F8" s="31" t="n">
        <f aca="false">ROUND(E9*Assumptions!$B$16,0)</f>
        <v>22</v>
      </c>
      <c r="G8" s="31" t="n">
        <f aca="false">ROUND(F9*Assumptions!$B$16,0)</f>
        <v>32</v>
      </c>
      <c r="H8" s="31" t="n">
        <f aca="false">ROUND(G9*Assumptions!$B$16,0)</f>
        <v>42</v>
      </c>
      <c r="I8" s="31" t="n">
        <f aca="false">ROUND(H9*Assumptions!$B$16,0)</f>
        <v>54</v>
      </c>
      <c r="J8" s="31" t="n">
        <f aca="false">ROUND(I9*Assumptions!$B$16,0)</f>
        <v>66</v>
      </c>
      <c r="K8" s="31" t="n">
        <f aca="false">ROUND(J9*Assumptions!$B$16,0)</f>
        <v>80</v>
      </c>
      <c r="L8" s="31" t="n">
        <f aca="false">ROUND(K9*Assumptions!$B$16,0)</f>
        <v>94</v>
      </c>
      <c r="M8" s="31" t="n">
        <f aca="false">ROUND(L9*Assumptions!$B$16,0)</f>
        <v>108</v>
      </c>
    </row>
    <row r="9" customFormat="false" ht="15" hidden="false" customHeight="true" outlineLevel="0" collapsed="false">
      <c r="A9" s="15" t="s">
        <v>95</v>
      </c>
      <c r="B9" s="32" t="n">
        <f aca="false">B7</f>
        <v>60</v>
      </c>
      <c r="C9" s="32" t="n">
        <f aca="false">B9+C7-C8</f>
        <v>147</v>
      </c>
      <c r="D9" s="32" t="n">
        <f aca="false">C9+D7-D8</f>
        <v>290</v>
      </c>
      <c r="E9" s="32" t="n">
        <f aca="false">D9+E7-E8</f>
        <v>487</v>
      </c>
      <c r="F9" s="32" t="n">
        <f aca="false">E9+F7-F8</f>
        <v>705</v>
      </c>
      <c r="G9" s="32" t="n">
        <f aca="false">F9+G7-G8</f>
        <v>943</v>
      </c>
      <c r="H9" s="32" t="n">
        <f aca="false">G9+H7-H8</f>
        <v>1201</v>
      </c>
      <c r="I9" s="32" t="n">
        <f aca="false">H9+I7-I8</f>
        <v>1477</v>
      </c>
      <c r="J9" s="32" t="n">
        <f aca="false">I9+J7-J8</f>
        <v>1771</v>
      </c>
      <c r="K9" s="32" t="n">
        <f aca="false">J9+K7-K8</f>
        <v>2081</v>
      </c>
      <c r="L9" s="32" t="n">
        <f aca="false">K9+L7-L8</f>
        <v>2407</v>
      </c>
      <c r="M9" s="32" t="n">
        <f aca="false">L9+M7-M8</f>
        <v>2749</v>
      </c>
    </row>
    <row r="10" customFormat="false" ht="15" hidden="false" customHeight="true" outlineLevel="0" collapsed="false">
      <c r="A10" s="6" t="s">
        <v>96</v>
      </c>
      <c r="B10" s="31" t="n">
        <f aca="false">B6-B7</f>
        <v>940</v>
      </c>
      <c r="C10" s="31" t="n">
        <f aca="false">B10+C6-C7</f>
        <v>2350</v>
      </c>
      <c r="D10" s="31" t="n">
        <f aca="false">C10+D6-D7</f>
        <v>4700</v>
      </c>
      <c r="E10" s="31" t="n">
        <f aca="false">D10+E6-E7</f>
        <v>7990</v>
      </c>
      <c r="F10" s="31" t="n">
        <f aca="false">E10+F6-F7</f>
        <v>11750</v>
      </c>
      <c r="G10" s="31" t="n">
        <f aca="false">F10+G6-G7</f>
        <v>15980</v>
      </c>
      <c r="H10" s="31" t="n">
        <f aca="false">G10+H6-H7</f>
        <v>20680</v>
      </c>
      <c r="I10" s="31" t="n">
        <f aca="false">H10+I6-I7</f>
        <v>25850</v>
      </c>
      <c r="J10" s="31" t="n">
        <f aca="false">I10+J6-J7</f>
        <v>31490</v>
      </c>
      <c r="K10" s="31" t="n">
        <f aca="false">J10+K6-K7</f>
        <v>37600</v>
      </c>
      <c r="L10" s="31" t="n">
        <f aca="false">K10+L6-L7</f>
        <v>44180</v>
      </c>
      <c r="M10" s="31" t="n">
        <f aca="false">L10+M6-M7</f>
        <v>51230</v>
      </c>
    </row>
    <row r="12" customFormat="false" ht="15" hidden="false" customHeight="true" outlineLevel="0" collapsed="false">
      <c r="A12" s="4" t="s">
        <v>97</v>
      </c>
    </row>
    <row r="13" customFormat="false" ht="15" hidden="false" customHeight="true" outlineLevel="0" collapsed="false">
      <c r="A13" s="5" t="s">
        <v>65</v>
      </c>
      <c r="B13" s="5" t="s">
        <v>80</v>
      </c>
      <c r="C13" s="5" t="s">
        <v>81</v>
      </c>
      <c r="D13" s="5" t="s">
        <v>82</v>
      </c>
      <c r="E13" s="5" t="s">
        <v>83</v>
      </c>
      <c r="F13" s="5" t="s">
        <v>84</v>
      </c>
      <c r="G13" s="5" t="s">
        <v>85</v>
      </c>
      <c r="H13" s="5" t="s">
        <v>86</v>
      </c>
      <c r="I13" s="5" t="s">
        <v>87</v>
      </c>
      <c r="J13" s="5" t="s">
        <v>88</v>
      </c>
      <c r="K13" s="5" t="s">
        <v>89</v>
      </c>
      <c r="L13" s="5" t="s">
        <v>90</v>
      </c>
      <c r="M13" s="5" t="s">
        <v>91</v>
      </c>
    </row>
    <row r="14" customFormat="false" ht="15" hidden="false" customHeight="true" outlineLevel="0" collapsed="false">
      <c r="A14" s="6" t="s">
        <v>98</v>
      </c>
      <c r="B14" s="14" t="n">
        <f aca="false">B15+B9*Assumptions!$B$15</f>
        <v>2611.985</v>
      </c>
      <c r="C14" s="14" t="n">
        <f aca="false">C15+C9*Assumptions!$B$15</f>
        <v>2519.84825</v>
      </c>
      <c r="D14" s="14" t="n">
        <f aca="false">D15+D9*Assumptions!$B$15</f>
        <v>3025.79416666667</v>
      </c>
      <c r="E14" s="14" t="n">
        <f aca="false">E15+E9*Assumptions!$B$15</f>
        <v>3322.84658333333</v>
      </c>
      <c r="F14" s="14" t="n">
        <f aca="false">F15+F9*Assumptions!$B$15</f>
        <v>4094.14875</v>
      </c>
      <c r="G14" s="14" t="n">
        <f aca="false">G15+G9*Assumptions!$B$15</f>
        <v>4936.21258333333</v>
      </c>
      <c r="H14" s="14" t="n">
        <f aca="false">H15+H9*Assumptions!$B$15</f>
        <v>5449.08808333333</v>
      </c>
      <c r="I14" s="14" t="n">
        <f aca="false">I15+I9*Assumptions!$B$15</f>
        <v>6425.59908333333</v>
      </c>
      <c r="J14" s="14" t="n">
        <f aca="false">J15+J9*Assumptions!$B$15</f>
        <v>7465.79558333333</v>
      </c>
      <c r="K14" s="14" t="n">
        <f aca="false">K15+K9*Assumptions!$B$15</f>
        <v>8162.65141666667</v>
      </c>
      <c r="L14" s="14" t="n">
        <f aca="false">L15+L9*Assumptions!$B$15</f>
        <v>9316.06658333333</v>
      </c>
      <c r="M14" s="14" t="n">
        <f aca="false">M15+M9*Assumptions!$B$15</f>
        <v>10526.0910833333</v>
      </c>
    </row>
    <row r="15" customFormat="false" ht="15" hidden="false" customHeight="true" outlineLevel="0" collapsed="false">
      <c r="A15" s="24" t="s">
        <v>99</v>
      </c>
      <c r="B15" s="28" t="n">
        <f aca="false">Founders!B7</f>
        <v>2399.7</v>
      </c>
      <c r="C15" s="28" t="n">
        <f aca="false">Founders!C7</f>
        <v>1999.75</v>
      </c>
      <c r="D15" s="28" t="n">
        <f aca="false">Founders!D7</f>
        <v>1999.75</v>
      </c>
      <c r="E15" s="28" t="n">
        <f aca="false">Founders!E7</f>
        <v>1599.8</v>
      </c>
      <c r="F15" s="28" t="n">
        <f aca="false">Founders!F7</f>
        <v>1599.8</v>
      </c>
      <c r="G15" s="28" t="n">
        <f aca="false">Founders!G7</f>
        <v>1599.8</v>
      </c>
      <c r="H15" s="28" t="n">
        <f aca="false">Founders!H7</f>
        <v>1199.85</v>
      </c>
      <c r="I15" s="28" t="n">
        <f aca="false">Founders!I7</f>
        <v>1199.85</v>
      </c>
      <c r="J15" s="28" t="n">
        <f aca="false">Founders!J7</f>
        <v>1199.85</v>
      </c>
      <c r="K15" s="28" t="n">
        <f aca="false">Founders!K7</f>
        <v>799.9</v>
      </c>
      <c r="L15" s="28" t="n">
        <f aca="false">Founders!L7</f>
        <v>799.9</v>
      </c>
      <c r="M15" s="28" t="n">
        <f aca="false">Founders!M7</f>
        <v>799.9</v>
      </c>
    </row>
    <row r="16" customFormat="false" ht="15" hidden="false" customHeight="true" outlineLevel="0" collapsed="false">
      <c r="A16" s="15" t="s">
        <v>100</v>
      </c>
      <c r="B16" s="17" t="n">
        <f aca="false">B14</f>
        <v>2611.985</v>
      </c>
      <c r="C16" s="17" t="n">
        <f aca="false">B16+C14</f>
        <v>5131.83325</v>
      </c>
      <c r="D16" s="17" t="n">
        <f aca="false">C16+D14</f>
        <v>8157.62741666667</v>
      </c>
      <c r="E16" s="17" t="n">
        <f aca="false">D16+E14</f>
        <v>11480.474</v>
      </c>
      <c r="F16" s="17" t="n">
        <f aca="false">E16+F14</f>
        <v>15574.62275</v>
      </c>
      <c r="G16" s="17" t="n">
        <f aca="false">F16+G14</f>
        <v>20510.8353333333</v>
      </c>
      <c r="H16" s="17" t="n">
        <f aca="false">G16+H14</f>
        <v>25959.9234166667</v>
      </c>
      <c r="I16" s="17" t="n">
        <f aca="false">H16+I14</f>
        <v>32385.5225</v>
      </c>
      <c r="J16" s="17" t="n">
        <f aca="false">I16+J14</f>
        <v>39851.3180833333</v>
      </c>
      <c r="K16" s="17" t="n">
        <f aca="false">J16+K14</f>
        <v>48013.9695</v>
      </c>
      <c r="L16" s="17" t="n">
        <f aca="false">K16+L14</f>
        <v>57330.0360833333</v>
      </c>
      <c r="M16" s="17" t="n">
        <f aca="false">L16+M14</f>
        <v>67856.1271666667</v>
      </c>
    </row>
    <row r="17" customFormat="false" ht="15" hidden="false" customHeight="true" outlineLevel="0" collapsed="false">
      <c r="A17" s="6" t="s">
        <v>101</v>
      </c>
      <c r="B17" s="14" t="n">
        <f aca="false">Assumptions!$B$30</f>
        <v>648.91</v>
      </c>
      <c r="C17" s="14" t="n">
        <f aca="false">Assumptions!$B$30</f>
        <v>648.91</v>
      </c>
      <c r="D17" s="14" t="n">
        <f aca="false">Assumptions!$B$30</f>
        <v>648.91</v>
      </c>
      <c r="E17" s="14" t="n">
        <f aca="false">Assumptions!$B$30</f>
        <v>648.91</v>
      </c>
      <c r="F17" s="14" t="n">
        <f aca="false">Assumptions!$B$30</f>
        <v>648.91</v>
      </c>
      <c r="G17" s="14" t="n">
        <f aca="false">Assumptions!$B$30</f>
        <v>648.91</v>
      </c>
      <c r="H17" s="14" t="n">
        <f aca="false">Assumptions!$B$30</f>
        <v>648.91</v>
      </c>
      <c r="I17" s="14" t="n">
        <f aca="false">Assumptions!$B$30</f>
        <v>648.91</v>
      </c>
      <c r="J17" s="14" t="n">
        <f aca="false">Assumptions!$B$30</f>
        <v>648.91</v>
      </c>
      <c r="K17" s="14" t="n">
        <f aca="false">Assumptions!$B$30</f>
        <v>648.91</v>
      </c>
      <c r="L17" s="14" t="n">
        <f aca="false">Assumptions!$B$30</f>
        <v>648.91</v>
      </c>
      <c r="M17" s="14" t="n">
        <f aca="false">Assumptions!$B$30</f>
        <v>648.91</v>
      </c>
    </row>
    <row r="18" customFormat="false" ht="15" hidden="false" customHeight="true" outlineLevel="0" collapsed="false">
      <c r="A18" s="15" t="s">
        <v>102</v>
      </c>
      <c r="B18" s="33" t="n">
        <f aca="false">B14-B16</f>
        <v>0</v>
      </c>
      <c r="C18" s="33" t="n">
        <f aca="false">C14-C16</f>
        <v>-2611.985</v>
      </c>
      <c r="D18" s="33" t="n">
        <f aca="false">D14-D16</f>
        <v>-5131.83325</v>
      </c>
      <c r="E18" s="33" t="n">
        <f aca="false">E14-E16</f>
        <v>-8157.62741666667</v>
      </c>
      <c r="F18" s="33" t="n">
        <f aca="false">F14-F16</f>
        <v>-11480.474</v>
      </c>
      <c r="G18" s="33" t="n">
        <f aca="false">G14-G16</f>
        <v>-15574.62275</v>
      </c>
      <c r="H18" s="33" t="n">
        <f aca="false">H14-H16</f>
        <v>-20510.8353333333</v>
      </c>
      <c r="I18" s="33" t="n">
        <f aca="false">I14-I16</f>
        <v>-25959.9234166667</v>
      </c>
      <c r="J18" s="33" t="n">
        <f aca="false">J14-J16</f>
        <v>-32385.5225</v>
      </c>
      <c r="K18" s="33" t="n">
        <f aca="false">K14-K16</f>
        <v>-39851.3180833333</v>
      </c>
      <c r="L18" s="33" t="n">
        <f aca="false">L14-L16</f>
        <v>-48013.9695</v>
      </c>
      <c r="M18" s="33" t="n">
        <f aca="false">M14-M16</f>
        <v>-57330.0360833333</v>
      </c>
    </row>
    <row r="19" customFormat="false" ht="15" hidden="false" customHeight="true" outlineLevel="0" collapsed="false">
      <c r="A19" s="34" t="s">
        <v>103</v>
      </c>
      <c r="B19" s="35" t="n">
        <f aca="false">B17</f>
        <v>648.91</v>
      </c>
      <c r="C19" s="35" t="n">
        <f aca="false">B18+C17</f>
        <v>648.91</v>
      </c>
      <c r="D19" s="35" t="n">
        <f aca="false">C18+D17</f>
        <v>-1963.075</v>
      </c>
      <c r="E19" s="35" t="n">
        <f aca="false">D18+E17</f>
        <v>-4482.92325</v>
      </c>
      <c r="F19" s="35" t="n">
        <f aca="false">E18+F17</f>
        <v>-7508.71741666667</v>
      </c>
      <c r="G19" s="35" t="n">
        <f aca="false">F18+G17</f>
        <v>-10831.564</v>
      </c>
      <c r="H19" s="35" t="n">
        <f aca="false">G18+H17</f>
        <v>-14925.71275</v>
      </c>
      <c r="I19" s="35" t="n">
        <f aca="false">H18+I17</f>
        <v>-19861.9253333333</v>
      </c>
      <c r="J19" s="35" t="n">
        <f aca="false">I18+J17</f>
        <v>-25311.0134166667</v>
      </c>
      <c r="K19" s="35" t="n">
        <f aca="false">J18+K17</f>
        <v>-31736.6125</v>
      </c>
      <c r="L19" s="35" t="n">
        <f aca="false">K18+L17</f>
        <v>-39202.4080833333</v>
      </c>
      <c r="M19" s="35" t="n">
        <f aca="false">L18+M17</f>
        <v>-47365.0595</v>
      </c>
    </row>
    <row r="20" customFormat="false" ht="15" hidden="false" customHeight="true" outlineLevel="0" collapsed="false"/>
    <row r="21" customFormat="false" ht="15" hidden="false" customHeight="true" outlineLevel="0" collapsed="false">
      <c r="A21" s="4" t="s">
        <v>104</v>
      </c>
    </row>
    <row r="22" customFormat="false" ht="15" hidden="false" customHeight="true" outlineLevel="0" collapsed="false">
      <c r="A22" s="6" t="s">
        <v>105</v>
      </c>
      <c r="B22" s="31" t="n">
        <f aca="false">SUM(B6:M6)</f>
        <v>54500</v>
      </c>
    </row>
    <row r="23" customFormat="false" ht="15" hidden="false" customHeight="true" outlineLevel="0" collapsed="false">
      <c r="A23" s="6" t="s">
        <v>106</v>
      </c>
      <c r="B23" s="31" t="n">
        <f aca="false">M9</f>
        <v>2749</v>
      </c>
    </row>
    <row r="24" customFormat="false" ht="15" hidden="false" customHeight="true" outlineLevel="0" collapsed="false">
      <c r="A24" s="15" t="s">
        <v>107</v>
      </c>
      <c r="B24" s="17" t="n">
        <f aca="false">M15</f>
        <v>799.9</v>
      </c>
    </row>
    <row r="25" customFormat="false" ht="15" hidden="false" customHeight="true" outlineLevel="0" collapsed="false">
      <c r="A25" s="6" t="s">
        <v>108</v>
      </c>
      <c r="B25" s="14" t="n">
        <f aca="false">SUM(B16:M16)</f>
        <v>334864.2745</v>
      </c>
    </row>
    <row r="26" customFormat="false" ht="15" hidden="false" customHeight="true" outlineLevel="0" collapsed="false">
      <c r="A26" s="36" t="s">
        <v>109</v>
      </c>
      <c r="B26" s="37" t="n">
        <f aca="false">B23-B24</f>
        <v>1949.1</v>
      </c>
    </row>
    <row r="27" customFormat="false" ht="15" hidden="false" customHeight="true" outlineLevel="0" collapsed="false">
      <c r="A27" s="6" t="s">
        <v>110</v>
      </c>
      <c r="B27" s="14" t="n">
        <f aca="false">M14*12</f>
        <v>126313.093</v>
      </c>
    </row>
    <row r="28" customFormat="false" ht="15" hidden="false" customHeight="true" outlineLevel="0" collapsed="false">
      <c r="A28" s="6" t="s">
        <v>111</v>
      </c>
      <c r="B28" s="8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4" min="2" style="1" width="22"/>
  </cols>
  <sheetData>
    <row r="1" customFormat="false" ht="17.25" hidden="false" customHeight="true" outlineLevel="0" collapsed="false">
      <c r="A1" s="23" t="s">
        <v>115</v>
      </c>
      <c r="B1" s="23"/>
      <c r="C1" s="23"/>
      <c r="D1" s="23"/>
    </row>
    <row r="3" customFormat="false" ht="15" hidden="false" customHeight="true" outlineLevel="0" collapsed="false">
      <c r="A3" s="38" t="s">
        <v>116</v>
      </c>
      <c r="B3" s="38" t="s">
        <v>117</v>
      </c>
      <c r="C3" s="38" t="s">
        <v>118</v>
      </c>
      <c r="D3" s="38" t="s">
        <v>119</v>
      </c>
    </row>
    <row r="4" customFormat="false" ht="15" hidden="false" customHeight="true" outlineLevel="0" collapsed="false">
      <c r="A4" s="24" t="s">
        <v>120</v>
      </c>
      <c r="B4" s="28" t="n">
        <f aca="false">Conservative!M16</f>
        <v>27759.02875</v>
      </c>
      <c r="C4" s="28" t="n">
        <f aca="false">Moderate!M16</f>
        <v>38422.8119166667</v>
      </c>
      <c r="D4" s="28" t="n">
        <f aca="false">Optimistic!M16</f>
        <v>67856.1271666667</v>
      </c>
    </row>
    <row r="5" customFormat="false" ht="15" hidden="false" customHeight="true" outlineLevel="0" collapsed="false">
      <c r="A5" s="24" t="s">
        <v>121</v>
      </c>
      <c r="B5" s="28" t="n">
        <f aca="false">Founders!B13</f>
        <v>17197.85</v>
      </c>
      <c r="C5" s="28" t="n">
        <f aca="false">Founders!B13</f>
        <v>17197.85</v>
      </c>
      <c r="D5" s="28" t="n">
        <f aca="false">Founders!B13</f>
        <v>17197.85</v>
      </c>
    </row>
    <row r="6" customFormat="false" ht="15" hidden="false" customHeight="true" outlineLevel="0" collapsed="false">
      <c r="A6" s="24" t="s">
        <v>122</v>
      </c>
      <c r="B6" s="21" t="n">
        <f aca="false">B4+B5</f>
        <v>44956.87875</v>
      </c>
      <c r="C6" s="21" t="n">
        <f aca="false">C4+C5</f>
        <v>55620.6619166667</v>
      </c>
      <c r="D6" s="21" t="n">
        <f aca="false">D4+D5</f>
        <v>85053.9771666667</v>
      </c>
    </row>
    <row r="8" customFormat="false" ht="15" hidden="false" customHeight="true" outlineLevel="0" collapsed="false">
      <c r="A8" s="24" t="s">
        <v>123</v>
      </c>
      <c r="B8" s="28" t="n">
        <f aca="false">Conservative!B25</f>
        <v>177391.2615</v>
      </c>
      <c r="C8" s="28" t="n">
        <f aca="false">Moderate!B25</f>
        <v>218440.104333333</v>
      </c>
      <c r="D8" s="28" t="n">
        <f aca="false">Optimistic!B25</f>
        <v>334864.2745</v>
      </c>
    </row>
    <row r="9" customFormat="false" ht="15" hidden="false" customHeight="true" outlineLevel="0" collapsed="false">
      <c r="A9" s="24" t="s">
        <v>124</v>
      </c>
      <c r="B9" s="21" t="n">
        <f aca="false">B6-B8</f>
        <v>-132434.38275</v>
      </c>
      <c r="C9" s="21" t="n">
        <f aca="false">C6-C8</f>
        <v>-162819.442416667</v>
      </c>
      <c r="D9" s="21" t="n">
        <f aca="false">D6-D8</f>
        <v>-249810.297333333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3A4E"/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4" min="2" style="1" width="18"/>
  </cols>
  <sheetData>
    <row r="1" customFormat="false" ht="17.25" hidden="false" customHeight="true" outlineLevel="0" collapsed="false">
      <c r="A1" s="2" t="s">
        <v>125</v>
      </c>
    </row>
    <row r="3" customFormat="false" ht="15" hidden="false" customHeight="true" outlineLevel="0" collapsed="false">
      <c r="A3" s="5" t="s">
        <v>116</v>
      </c>
      <c r="B3" s="5" t="s">
        <v>126</v>
      </c>
      <c r="C3" s="5" t="s">
        <v>127</v>
      </c>
      <c r="D3" s="5" t="s">
        <v>128</v>
      </c>
    </row>
    <row r="4" customFormat="false" ht="15" hidden="false" customHeight="true" outlineLevel="0" collapsed="false">
      <c r="A4" s="6" t="s">
        <v>129</v>
      </c>
      <c r="B4" s="39" t="n">
        <f aca="false">Conservative!B21</f>
        <v>0</v>
      </c>
      <c r="C4" s="39" t="n">
        <f aca="false">Moderate!B21</f>
        <v>0</v>
      </c>
      <c r="D4" s="39" t="n">
        <f aca="false">Optimistic!B21</f>
        <v>0</v>
      </c>
    </row>
    <row r="5" customFormat="false" ht="15" hidden="false" customHeight="true" outlineLevel="0" collapsed="false">
      <c r="A5" s="40" t="s">
        <v>130</v>
      </c>
      <c r="B5" s="41" t="n">
        <f aca="false">Conservative!B22</f>
        <v>10700</v>
      </c>
      <c r="C5" s="41" t="n">
        <f aca="false">Moderate!B22</f>
        <v>22800</v>
      </c>
      <c r="D5" s="41" t="n">
        <f aca="false">Optimistic!B22</f>
        <v>54500</v>
      </c>
    </row>
    <row r="6" customFormat="false" ht="15" hidden="false" customHeight="true" outlineLevel="0" collapsed="false">
      <c r="A6" s="6" t="s">
        <v>107</v>
      </c>
      <c r="B6" s="42" t="n">
        <f aca="false">Conservative!B23</f>
        <v>532</v>
      </c>
      <c r="C6" s="42" t="n">
        <f aca="false">Moderate!B23</f>
        <v>1149</v>
      </c>
      <c r="D6" s="42" t="n">
        <f aca="false">Optimistic!B23</f>
        <v>2749</v>
      </c>
    </row>
    <row r="7" customFormat="false" ht="15" hidden="false" customHeight="true" outlineLevel="0" collapsed="false">
      <c r="A7" s="40" t="s">
        <v>108</v>
      </c>
      <c r="B7" s="43" t="n">
        <f aca="false">Conservative!B24</f>
        <v>799.9</v>
      </c>
      <c r="C7" s="43" t="n">
        <f aca="false">Moderate!B24</f>
        <v>799.9</v>
      </c>
      <c r="D7" s="43" t="n">
        <f aca="false">Optimistic!B24</f>
        <v>799.9</v>
      </c>
    </row>
    <row r="8" customFormat="false" ht="15" hidden="false" customHeight="true" outlineLevel="0" collapsed="false">
      <c r="A8" s="6" t="s">
        <v>109</v>
      </c>
      <c r="B8" s="44" t="n">
        <f aca="false">Conservative!B25</f>
        <v>177391.2615</v>
      </c>
      <c r="C8" s="44" t="n">
        <f aca="false">Moderate!B25</f>
        <v>218440.104333333</v>
      </c>
      <c r="D8" s="44" t="n">
        <f aca="false">Optimistic!B25</f>
        <v>334864.2745</v>
      </c>
    </row>
    <row r="9" customFormat="false" ht="15" hidden="false" customHeight="true" outlineLevel="0" collapsed="false">
      <c r="A9" s="40" t="s">
        <v>110</v>
      </c>
      <c r="B9" s="43" t="n">
        <f aca="false">Conservative!B26</f>
        <v>-267.9</v>
      </c>
      <c r="C9" s="43" t="n">
        <f aca="false">Moderate!B26</f>
        <v>349.1</v>
      </c>
      <c r="D9" s="43" t="n">
        <f aca="false">Optimistic!B26</f>
        <v>1949.1</v>
      </c>
    </row>
    <row r="10" customFormat="false" ht="15" hidden="false" customHeight="true" outlineLevel="0" collapsed="false">
      <c r="A10" s="6" t="s">
        <v>131</v>
      </c>
      <c r="B10" s="45" t="n">
        <f aca="false">Assumptions!B18</f>
        <v>78.6240740740741</v>
      </c>
      <c r="C10" s="45" t="n">
        <f aca="false">Assumptions!B18</f>
        <v>78.6240740740741</v>
      </c>
      <c r="D10" s="45" t="n">
        <f aca="false">Assumptions!B18</f>
        <v>78.6240740740741</v>
      </c>
    </row>
    <row r="11" customFormat="false" ht="15" hidden="false" customHeight="true" outlineLevel="0" collapsed="false">
      <c r="A11" s="40" t="s">
        <v>132</v>
      </c>
      <c r="B11" s="46" t="n">
        <f aca="false">Assumptions!B30</f>
        <v>648.91</v>
      </c>
      <c r="C11" s="46" t="n">
        <f aca="false">Assumptions!B30</f>
        <v>648.91</v>
      </c>
      <c r="D11" s="46" t="n">
        <f aca="false">Assumptions!B30</f>
        <v>648.91</v>
      </c>
    </row>
    <row r="13" customFormat="false" ht="15" hidden="false" customHeight="true" outlineLevel="0" collapsed="false">
      <c r="A13" s="4" t="s">
        <v>133</v>
      </c>
    </row>
    <row r="14" customFormat="false" ht="15" hidden="false" customHeight="true" outlineLevel="0" collapsed="false">
      <c r="A14" s="6" t="s">
        <v>134</v>
      </c>
      <c r="B14" s="31" t="n">
        <f aca="false">IF(Assumptions!B15&gt;0,CEILING(Assumptions!B30/Assumptions!B15,1),0)</f>
        <v>184</v>
      </c>
      <c r="C14" s="3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2026-04-13T17:08:13Z</dcterms:created>
  <dc:creator>openpyxl</dc:creator>
  <dc:description/>
  <dc:language>en-US</dc:language>
  <cp:lastModifiedBy/>
  <dcterms:modified xsi:type="dcterms:W3CDTF">2026-04-13T17:26:47Z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